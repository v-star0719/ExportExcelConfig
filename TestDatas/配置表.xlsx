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3515"/>
  </bookViews>
  <sheets>
    <sheet name="索引" sheetId="12" r:id="rId1"/>
    <sheet name="主角" sheetId="10" r:id="rId2"/>
    <sheet name="技能" sheetId="13" r:id="rId3"/>
    <sheet name="技能-原始" sheetId="5" r:id="rId4"/>
    <sheet name="关卡" sheetId="8" r:id="rId5"/>
    <sheet name="局内等级" sheetId="9" r:id="rId6"/>
    <sheet name="装备" sheetId="3" r:id="rId7"/>
    <sheet name="技能属性" sheetId="1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CM082</author>
  </authors>
  <commentList>
    <comment ref="E2" authorId="0">
      <text>
        <r>
          <rPr>
            <b/>
            <sz val="9"/>
            <rFont val="宋体"/>
            <charset val="134"/>
          </rPr>
          <t>1——主武器技能（初始携带）
2——主动技能
3——被动技能</t>
        </r>
      </text>
    </comment>
    <comment ref="G2" authorId="0">
      <text>
        <r>
          <rPr>
            <b/>
            <sz val="9"/>
            <rFont val="宋体"/>
            <charset val="134"/>
          </rPr>
          <t xml:space="preserve">1000——1倍
500——0.5倍
2000——2倍
</t>
        </r>
      </text>
    </comment>
    <comment ref="H2" authorId="0">
      <text>
        <r>
          <rPr>
            <b/>
            <sz val="9"/>
            <rFont val="宋体"/>
            <charset val="134"/>
          </rPr>
          <t xml:space="preserve">单位毫秒
500=0.5秒冷却
1000=1秒冷却
数值越大，冷却时间越久
</t>
        </r>
      </text>
    </comment>
    <comment ref="J2" authorId="0">
      <text>
        <r>
          <rPr>
            <sz val="9"/>
            <rFont val="宋体"/>
            <charset val="134"/>
          </rPr>
          <t xml:space="preserve">以角色正面为0度中心
360度为全角度
</t>
        </r>
      </text>
    </comment>
    <comment ref="K2" authorId="0">
      <text>
        <r>
          <rPr>
            <sz val="9"/>
            <rFont val="宋体"/>
            <charset val="134"/>
          </rPr>
          <t xml:space="preserve">子弹发射的扩散角度，
以角色正面为0度中心
360度为全角度
</t>
        </r>
      </text>
    </comment>
    <comment ref="L2" authorId="0">
      <text>
        <r>
          <rPr>
            <b/>
            <sz val="9"/>
            <rFont val="宋体"/>
            <charset val="134"/>
          </rPr>
          <t>0——无射程限制</t>
        </r>
      </text>
    </comment>
    <comment ref="N2" authorId="0">
      <text>
        <r>
          <rPr>
            <b/>
            <sz val="9"/>
            <rFont val="宋体"/>
            <charset val="134"/>
          </rPr>
          <t>每次攻击时同时发射出的子弹数量</t>
        </r>
      </text>
    </comment>
    <comment ref="Q2" authorId="0">
      <text>
        <r>
          <rPr>
            <b/>
            <sz val="9"/>
            <rFont val="宋体"/>
            <charset val="134"/>
          </rPr>
          <t>没有弹仓的武器不需要装填</t>
        </r>
      </text>
    </comment>
    <comment ref="R2" authorId="0">
      <text>
        <r>
          <rPr>
            <b/>
            <sz val="9"/>
            <rFont val="宋体"/>
            <charset val="134"/>
          </rPr>
          <t>-1——永久存在（超出射程后销毁）
1000——1秒</t>
        </r>
      </text>
    </comment>
    <comment ref="T2" authorId="0">
      <text>
        <r>
          <rPr>
            <b/>
            <sz val="9"/>
            <rFont val="宋体"/>
            <charset val="134"/>
          </rPr>
          <t xml:space="preserve">-1——无限（直到射程上限）
</t>
        </r>
      </text>
    </comment>
    <comment ref="U2" authorId="0">
      <text>
        <r>
          <rPr>
            <b/>
            <sz val="9"/>
            <rFont val="宋体"/>
            <charset val="134"/>
          </rPr>
          <t xml:space="preserve">1000——100%
500——50%
</t>
        </r>
      </text>
    </comment>
  </commentList>
</comments>
</file>

<file path=xl/comments2.xml><?xml version="1.0" encoding="utf-8"?>
<comments xmlns="http://schemas.openxmlformats.org/spreadsheetml/2006/main">
  <authors>
    <author>CM082</author>
  </authors>
  <commentList>
    <comment ref="B4" authorId="0">
      <text>
        <r>
          <rPr>
            <b/>
            <sz val="9"/>
            <rFont val="宋体"/>
            <charset val="134"/>
          </rPr>
          <t>到达当前等级所需要的经验（累计）</t>
        </r>
      </text>
    </comment>
  </commentList>
</comments>
</file>

<file path=xl/sharedStrings.xml><?xml version="1.0" encoding="utf-8"?>
<sst xmlns="http://schemas.openxmlformats.org/spreadsheetml/2006/main" count="594" uniqueCount="278">
  <si>
    <t>索引</t>
  </si>
  <si>
    <t>输出文件名</t>
  </si>
  <si>
    <t>描述</t>
  </si>
  <si>
    <t>Hero</t>
  </si>
  <si>
    <t>cs</t>
  </si>
  <si>
    <t>玩家属性</t>
  </si>
  <si>
    <t>Skill</t>
  </si>
  <si>
    <t>int</t>
  </si>
  <si>
    <t>string</t>
  </si>
  <si>
    <t>id</t>
  </si>
  <si>
    <t>name</t>
  </si>
  <si>
    <t>mode</t>
  </si>
  <si>
    <t>level</t>
  </si>
  <si>
    <t>baseAtk</t>
  </si>
  <si>
    <t>baseHp</t>
  </si>
  <si>
    <t>moveSpeed</t>
  </si>
  <si>
    <t>atkSpeed</t>
  </si>
  <si>
    <t xml:space="preserve">regen </t>
  </si>
  <si>
    <t xml:space="preserve">power </t>
  </si>
  <si>
    <t>growth</t>
  </si>
  <si>
    <t xml:space="preserve">luck </t>
  </si>
  <si>
    <t xml:space="preserve">greed </t>
  </si>
  <si>
    <t xml:space="preserve">revivals </t>
  </si>
  <si>
    <t>角色ID</t>
  </si>
  <si>
    <t>名字</t>
  </si>
  <si>
    <t>模型资源</t>
  </si>
  <si>
    <t>角色等级</t>
  </si>
  <si>
    <t>基础攻击</t>
  </si>
  <si>
    <t>基础生命</t>
  </si>
  <si>
    <t>移动速度</t>
  </si>
  <si>
    <t>攻击速度</t>
  </si>
  <si>
    <t>生命恢复</t>
  </si>
  <si>
    <t>攻击倍率</t>
  </si>
  <si>
    <t>经验倍率</t>
  </si>
  <si>
    <t>幸运倍率</t>
  </si>
  <si>
    <t>金币倍率</t>
  </si>
  <si>
    <t>复活次数</t>
  </si>
  <si>
    <t>默认主角</t>
  </si>
  <si>
    <t>hero1</t>
  </si>
  <si>
    <t>hero2</t>
  </si>
  <si>
    <t>hero3</t>
  </si>
  <si>
    <t>float</t>
  </si>
  <si>
    <t>star</t>
  </si>
  <si>
    <t>cd</t>
  </si>
  <si>
    <t>atkPower</t>
  </si>
  <si>
    <t>attr1</t>
  </si>
  <si>
    <t>attr2</t>
  </si>
  <si>
    <t>attr3</t>
  </si>
  <si>
    <t>attr4</t>
  </si>
  <si>
    <t>attr5</t>
  </si>
  <si>
    <t>星级</t>
  </si>
  <si>
    <t>冷却</t>
  </si>
  <si>
    <t>属性1</t>
  </si>
  <si>
    <t>属性2</t>
  </si>
  <si>
    <t>属性3</t>
  </si>
  <si>
    <t>属性4</t>
  </si>
  <si>
    <t>属性5</t>
  </si>
  <si>
    <t>飞镖1星</t>
  </si>
  <si>
    <t>BulletCount,1</t>
  </si>
  <si>
    <t>飞镖2星</t>
  </si>
  <si>
    <t>BulletCount,2</t>
  </si>
  <si>
    <t>飞镖3星</t>
  </si>
  <si>
    <t>BulletCount,3</t>
  </si>
  <si>
    <t>飞镖4星</t>
  </si>
  <si>
    <t>BulletCount,4</t>
  </si>
  <si>
    <t>飞镖5星</t>
  </si>
  <si>
    <t>BulletCount,5</t>
  </si>
  <si>
    <t>飞镖突破</t>
  </si>
  <si>
    <t>BulletCount,6</t>
  </si>
  <si>
    <t>gid</t>
  </si>
  <si>
    <t>class</t>
  </si>
  <si>
    <t>skillType</t>
  </si>
  <si>
    <t>atkType</t>
  </si>
  <si>
    <t>cooldown</t>
  </si>
  <si>
    <t>lockType</t>
  </si>
  <si>
    <t>aimAngle</t>
  </si>
  <si>
    <t>spreadAngle</t>
  </si>
  <si>
    <t>range</t>
  </si>
  <si>
    <t>shots</t>
  </si>
  <si>
    <t>size</t>
  </si>
  <si>
    <t>magazine</t>
  </si>
  <si>
    <t>reloadTIme</t>
  </si>
  <si>
    <t>lifeTime</t>
  </si>
  <si>
    <t>knockback</t>
  </si>
  <si>
    <t>pierce</t>
  </si>
  <si>
    <t>pierceDmg</t>
  </si>
  <si>
    <t>splash</t>
  </si>
  <si>
    <t xml:space="preserve">price </t>
  </si>
  <si>
    <t>GID</t>
  </si>
  <si>
    <t>分类类型</t>
  </si>
  <si>
    <t>技能类型</t>
  </si>
  <si>
    <t>攻击类型</t>
  </si>
  <si>
    <t>攻击冷却</t>
  </si>
  <si>
    <t>目标选择</t>
  </si>
  <si>
    <t>瞄准角度</t>
  </si>
  <si>
    <t>扩散角度</t>
  </si>
  <si>
    <t>射程距离</t>
  </si>
  <si>
    <t>子弹移动速度</t>
  </si>
  <si>
    <t>发射次数</t>
  </si>
  <si>
    <t>子弹尺寸</t>
  </si>
  <si>
    <t>弹仓数量</t>
  </si>
  <si>
    <t>装填时间</t>
  </si>
  <si>
    <t>持续时间</t>
  </si>
  <si>
    <t>击退</t>
  </si>
  <si>
    <t>穿透次数</t>
  </si>
  <si>
    <t>穿透伤害</t>
  </si>
  <si>
    <t>溅射范围</t>
  </si>
  <si>
    <t>价格</t>
  </si>
  <si>
    <t>备注</t>
  </si>
  <si>
    <t>1——远程子弹</t>
  </si>
  <si>
    <t>1——自动瞄准最近的</t>
  </si>
  <si>
    <t>十字穿刺飞镖</t>
  </si>
  <si>
    <t>左轮枪1星</t>
  </si>
  <si>
    <t>2——瞄准角度内最近的</t>
  </si>
  <si>
    <t>左轮枪2星</t>
  </si>
  <si>
    <t>左轮枪3星</t>
  </si>
  <si>
    <t>左轮枪4星</t>
  </si>
  <si>
    <t>左轮枪5星</t>
  </si>
  <si>
    <t>左轮枪突破</t>
  </si>
  <si>
    <t>双左轮</t>
  </si>
  <si>
    <t>霰弹枪1星</t>
  </si>
  <si>
    <t>0——角色朝向固定发射</t>
  </si>
  <si>
    <t>45——正面扇形</t>
  </si>
  <si>
    <t>霰弹枪2星</t>
  </si>
  <si>
    <t>霰弹枪3星</t>
  </si>
  <si>
    <t>霰弹枪4星</t>
  </si>
  <si>
    <t>霰弹枪5星</t>
  </si>
  <si>
    <t>霰弹枪突破</t>
  </si>
  <si>
    <t>加特林</t>
  </si>
  <si>
    <t>棍棒1星</t>
  </si>
  <si>
    <t>0——近战挥砍</t>
  </si>
  <si>
    <t>棍棒2星</t>
  </si>
  <si>
    <t>棍棒3星</t>
  </si>
  <si>
    <t>棍棒4星</t>
  </si>
  <si>
    <t>棍棒5星</t>
  </si>
  <si>
    <t>棍棒突破</t>
  </si>
  <si>
    <t>狼牙棒</t>
  </si>
  <si>
    <t>太刀1星</t>
  </si>
  <si>
    <t>正面和背面扇形</t>
  </si>
  <si>
    <t>太刀2星</t>
  </si>
  <si>
    <t>太刀3星</t>
  </si>
  <si>
    <t>太刀4星</t>
  </si>
  <si>
    <t>太刀5星</t>
  </si>
  <si>
    <t>太刀突破</t>
  </si>
  <si>
    <t>吸血刀</t>
  </si>
  <si>
    <t>砖头1星</t>
  </si>
  <si>
    <t>只会往上方抛投</t>
  </si>
  <si>
    <t>砖头2星</t>
  </si>
  <si>
    <t>砖头3星</t>
  </si>
  <si>
    <t>砖头4星</t>
  </si>
  <si>
    <t>砖头5星</t>
  </si>
  <si>
    <t>砖头突破</t>
  </si>
  <si>
    <t>铁哑铃朝8方向抛射</t>
  </si>
  <si>
    <t>燃烧瓶1星</t>
  </si>
  <si>
    <t>燃烧瓶2星</t>
  </si>
  <si>
    <t>燃烧瓶3星</t>
  </si>
  <si>
    <t>燃烧瓶4星</t>
  </si>
  <si>
    <t>燃烧瓶5星</t>
  </si>
  <si>
    <t>燃烧瓶突破</t>
  </si>
  <si>
    <t>回旋镖1星</t>
  </si>
  <si>
    <t>回旋镖2星</t>
  </si>
  <si>
    <t>回旋镖3星</t>
  </si>
  <si>
    <t>回旋镖4星</t>
  </si>
  <si>
    <t>回旋镖5星</t>
  </si>
  <si>
    <t>回旋镖突破</t>
  </si>
  <si>
    <t>变成原地的双回旋镖</t>
  </si>
  <si>
    <t>火箭炮1星</t>
  </si>
  <si>
    <t>火箭炮2星</t>
  </si>
  <si>
    <t>火箭炮3星</t>
  </si>
  <si>
    <t>火箭炮4星</t>
  </si>
  <si>
    <t>火箭炮5星</t>
  </si>
  <si>
    <t>火箭炮突破</t>
  </si>
  <si>
    <t>大核弹</t>
  </si>
  <si>
    <t>守卫者刀阵1星</t>
  </si>
  <si>
    <t>环绕主角，阻挡子弹，升级提升旋转速度</t>
  </si>
  <si>
    <t>守卫者刀阵2星</t>
  </si>
  <si>
    <t>守卫者刀阵3星</t>
  </si>
  <si>
    <t>守卫者刀阵4星</t>
  </si>
  <si>
    <t>守卫者刀阵5星</t>
  </si>
  <si>
    <t>守卫者刀阵突破</t>
  </si>
  <si>
    <t>环绕主角，阻挡子弹，击退</t>
  </si>
  <si>
    <t>钻头1星</t>
  </si>
  <si>
    <t>钻头2星</t>
  </si>
  <si>
    <t>钻头3星</t>
  </si>
  <si>
    <t>钻头4星</t>
  </si>
  <si>
    <t>钻头5星</t>
  </si>
  <si>
    <t>钻头突破</t>
  </si>
  <si>
    <t>变成跟踪吹箭</t>
  </si>
  <si>
    <t>足球1星</t>
  </si>
  <si>
    <t>足球2星</t>
  </si>
  <si>
    <t>足球3星</t>
  </si>
  <si>
    <t>足球4星</t>
  </si>
  <si>
    <t>足球5星</t>
  </si>
  <si>
    <t>足球突破</t>
  </si>
  <si>
    <t>伤害立场1星</t>
  </si>
  <si>
    <t>2——光环</t>
  </si>
  <si>
    <t>伤害光环</t>
  </si>
  <si>
    <t>伤害立场2星</t>
  </si>
  <si>
    <t>伤害立场3星</t>
  </si>
  <si>
    <t>伤害立场4星</t>
  </si>
  <si>
    <t>伤害立场5星</t>
  </si>
  <si>
    <t>伤害立场突破</t>
  </si>
  <si>
    <t>伤害+减速光环</t>
  </si>
  <si>
    <t>雷电发射器1星</t>
  </si>
  <si>
    <t>雷电发射器2星</t>
  </si>
  <si>
    <t>雷电发射器3星</t>
  </si>
  <si>
    <t>雷电发射器4星</t>
  </si>
  <si>
    <t>雷电发射器5星</t>
  </si>
  <si>
    <t>雷电发射器突破</t>
  </si>
  <si>
    <t>A型无人机1星</t>
  </si>
  <si>
    <t>A型无人机2星</t>
  </si>
  <si>
    <t>A型无人机3星</t>
  </si>
  <si>
    <t>A型无人机4星</t>
  </si>
  <si>
    <t>A型无人机5星</t>
  </si>
  <si>
    <t>A型无人机突破</t>
  </si>
  <si>
    <t>B型无人机1星</t>
  </si>
  <si>
    <t>B型无人机2星</t>
  </si>
  <si>
    <t>B型无人机3星</t>
  </si>
  <si>
    <t>B型无人机4星</t>
  </si>
  <si>
    <t>B型无人机5星</t>
  </si>
  <si>
    <t>B型无人机突破</t>
  </si>
  <si>
    <t>榴莲1星</t>
  </si>
  <si>
    <t>榴莲2星</t>
  </si>
  <si>
    <t>自爆</t>
  </si>
  <si>
    <t>榴莲3星</t>
  </si>
  <si>
    <t xml:space="preserve">0 默认类型 </t>
  </si>
  <si>
    <t>榴莲4星</t>
  </si>
  <si>
    <t>1 自爆：自身为圆心的圆形，半径为攻击距离</t>
  </si>
  <si>
    <t>榴莲5星</t>
  </si>
  <si>
    <t xml:space="preserve">2 身前的矩形(取范围宽度*攻击距离) </t>
  </si>
  <si>
    <t>榴莲突破</t>
  </si>
  <si>
    <t>3 身前30°的锥形才可以攻击</t>
  </si>
  <si>
    <t>激光发射器1星</t>
  </si>
  <si>
    <t>激光发射器2星</t>
  </si>
  <si>
    <t>激光发射器3星</t>
  </si>
  <si>
    <t>激光发射器4星</t>
  </si>
  <si>
    <t>激光发射器5星</t>
  </si>
  <si>
    <t>激光发射器突破</t>
  </si>
  <si>
    <t>能量弹夹1星</t>
  </si>
  <si>
    <t>能量弹夹2星</t>
  </si>
  <si>
    <t>能量弹夹3星</t>
  </si>
  <si>
    <t>能量弹夹4星</t>
  </si>
  <si>
    <t>能量弹夹5星</t>
  </si>
  <si>
    <t>生命再生1星</t>
  </si>
  <si>
    <t>生命再生2星</t>
  </si>
  <si>
    <t>生命再生3星</t>
  </si>
  <si>
    <t>生命再生4星</t>
  </si>
  <si>
    <t>生命再生5星</t>
  </si>
  <si>
    <t>totalExp</t>
  </si>
  <si>
    <t>等级</t>
  </si>
  <si>
    <t>所需经验</t>
  </si>
  <si>
    <t>type</t>
  </si>
  <si>
    <t>grade</t>
  </si>
  <si>
    <t>atk</t>
  </si>
  <si>
    <t>hp</t>
  </si>
  <si>
    <t>ID</t>
  </si>
  <si>
    <t>类型</t>
  </si>
  <si>
    <t>品质</t>
  </si>
  <si>
    <t>强化等级</t>
  </si>
  <si>
    <t>攻击力</t>
  </si>
  <si>
    <t>生命值</t>
  </si>
  <si>
    <t>白</t>
  </si>
  <si>
    <t>飞镖-初级</t>
  </si>
  <si>
    <t>绿</t>
  </si>
  <si>
    <t>蓝</t>
  </si>
  <si>
    <t>飞镖-中级</t>
  </si>
  <si>
    <t>霰弹枪-初级</t>
  </si>
  <si>
    <t>霰弹枪-中级</t>
  </si>
  <si>
    <t>球棍-初级</t>
  </si>
  <si>
    <t>球棍-中级</t>
  </si>
  <si>
    <t>太刀-初级</t>
  </si>
  <si>
    <t>太刀-中级</t>
  </si>
  <si>
    <t>衣服-初级</t>
  </si>
  <si>
    <t>衣服-中级</t>
  </si>
  <si>
    <t>鞋子-初级</t>
  </si>
  <si>
    <t>鞋子-中级</t>
  </si>
  <si>
    <t>Cd, //冷却，已有固定字段</t>
  </si>
  <si>
    <t>BulletCount, //子弹数量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</si>
</sst>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5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theme="1"/>
      <name val="Microsoft YaHei Light"/>
      <charset val="134"/>
    </font>
    <font>
      <sz val="12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9" borderId="4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2" fillId="2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3" borderId="0" xfId="0" applyFont="1" applyFill="1"/>
    <xf numFmtId="0" fontId="2" fillId="6" borderId="0" xfId="0" applyFont="1" applyFill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C8" sqref="C8"/>
    </sheetView>
  </sheetViews>
  <sheetFormatPr defaultColWidth="9" defaultRowHeight="14.25" outlineLevelRow="2" outlineLevelCol="4"/>
  <cols>
    <col min="2" max="2" width="11.625" customWidth="1"/>
  </cols>
  <sheetData>
    <row r="1" spans="1:5">
      <c r="A1" s="10" t="s">
        <v>0</v>
      </c>
      <c r="B1" s="10" t="s">
        <v>1</v>
      </c>
      <c r="C1" s="10"/>
      <c r="D1" s="10"/>
      <c r="E1" s="10" t="s">
        <v>2</v>
      </c>
    </row>
    <row r="2" spans="1:5">
      <c r="A2" s="11">
        <v>1</v>
      </c>
      <c r="B2" s="11" t="s">
        <v>3</v>
      </c>
      <c r="C2" s="11"/>
      <c r="D2" s="11" t="s">
        <v>4</v>
      </c>
      <c r="E2" s="11" t="s">
        <v>5</v>
      </c>
    </row>
    <row r="3" spans="1:5">
      <c r="A3" s="11">
        <v>2</v>
      </c>
      <c r="B3" s="11" t="s">
        <v>6</v>
      </c>
      <c r="C3" s="11"/>
      <c r="D3" s="11"/>
      <c r="E3" s="1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workbookViewId="0">
      <selection activeCell="A1" sqref="A1:B3"/>
    </sheetView>
  </sheetViews>
  <sheetFormatPr defaultColWidth="9" defaultRowHeight="14.25" outlineLevelRow="6"/>
  <cols>
    <col min="1" max="1" width="7" customWidth="1"/>
    <col min="5" max="6" width="9" customWidth="1"/>
    <col min="7" max="7" width="11.5" customWidth="1"/>
    <col min="8" max="8" width="9.25" customWidth="1"/>
  </cols>
  <sheetData>
    <row r="1" spans="1:14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</row>
    <row r="2" spans="1:14">
      <c r="A2" t="s">
        <v>7</v>
      </c>
      <c r="B2" t="s">
        <v>8</v>
      </c>
      <c r="C2" t="s">
        <v>8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</row>
    <row r="3" spans="1:14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  <c r="N3" t="s">
        <v>22</v>
      </c>
    </row>
    <row r="4" spans="1:14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  <c r="M4" t="s">
        <v>35</v>
      </c>
      <c r="N4" t="s">
        <v>36</v>
      </c>
    </row>
    <row r="5" spans="1:14">
      <c r="A5">
        <v>1</v>
      </c>
      <c r="B5" t="s">
        <v>37</v>
      </c>
      <c r="C5" t="s">
        <v>38</v>
      </c>
      <c r="D5">
        <v>1</v>
      </c>
      <c r="E5">
        <v>10</v>
      </c>
      <c r="F5">
        <v>100</v>
      </c>
      <c r="G5">
        <v>1000</v>
      </c>
      <c r="H5">
        <v>1000</v>
      </c>
      <c r="I5">
        <v>0</v>
      </c>
      <c r="J5">
        <v>1000</v>
      </c>
      <c r="K5">
        <v>1000</v>
      </c>
      <c r="L5">
        <v>1000</v>
      </c>
      <c r="M5">
        <v>1000</v>
      </c>
      <c r="N5">
        <v>0</v>
      </c>
    </row>
    <row r="6" spans="1:14">
      <c r="A6">
        <v>2</v>
      </c>
      <c r="B6" t="s">
        <v>37</v>
      </c>
      <c r="C6" t="s">
        <v>39</v>
      </c>
      <c r="D6">
        <v>2</v>
      </c>
      <c r="E6">
        <v>20</v>
      </c>
      <c r="F6">
        <v>148</v>
      </c>
      <c r="G6">
        <v>1000</v>
      </c>
      <c r="H6">
        <v>1000</v>
      </c>
      <c r="I6">
        <v>0</v>
      </c>
      <c r="J6">
        <v>1000</v>
      </c>
      <c r="K6">
        <v>1000</v>
      </c>
      <c r="L6">
        <v>1000</v>
      </c>
      <c r="M6">
        <v>1000</v>
      </c>
      <c r="N6">
        <v>0</v>
      </c>
    </row>
    <row r="7" spans="1:14">
      <c r="A7">
        <v>3</v>
      </c>
      <c r="B7" t="s">
        <v>37</v>
      </c>
      <c r="C7" t="s">
        <v>40</v>
      </c>
      <c r="D7">
        <v>3</v>
      </c>
      <c r="E7">
        <v>30</v>
      </c>
      <c r="F7">
        <v>196</v>
      </c>
      <c r="G7">
        <v>1000</v>
      </c>
      <c r="H7">
        <v>1000</v>
      </c>
      <c r="I7">
        <v>0</v>
      </c>
      <c r="J7">
        <v>1000</v>
      </c>
      <c r="K7">
        <v>1000</v>
      </c>
      <c r="L7">
        <v>1000</v>
      </c>
      <c r="M7">
        <v>1000</v>
      </c>
      <c r="N7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workbookViewId="0">
      <selection activeCell="I11" sqref="I11"/>
    </sheetView>
  </sheetViews>
  <sheetFormatPr defaultColWidth="9" defaultRowHeight="14.25"/>
  <cols>
    <col min="1" max="1" width="10.625" customWidth="1"/>
    <col min="5" max="5" width="9" customWidth="1"/>
    <col min="6" max="6" width="14.625" customWidth="1"/>
    <col min="7" max="7" width="11.5" customWidth="1"/>
    <col min="8" max="8" width="9.25" customWidth="1"/>
  </cols>
  <sheetData>
    <row r="1" spans="1:10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2</v>
      </c>
      <c r="H1">
        <v>3</v>
      </c>
      <c r="I1">
        <v>4</v>
      </c>
      <c r="J1">
        <v>5</v>
      </c>
    </row>
    <row r="2" spans="1:10">
      <c r="A2" t="s">
        <v>7</v>
      </c>
      <c r="B2" t="s">
        <v>8</v>
      </c>
      <c r="C2" t="s">
        <v>7</v>
      </c>
      <c r="D2" t="s">
        <v>41</v>
      </c>
      <c r="E2" t="s">
        <v>41</v>
      </c>
      <c r="F2" t="s">
        <v>8</v>
      </c>
      <c r="G2" t="s">
        <v>8</v>
      </c>
      <c r="H2" t="s">
        <v>8</v>
      </c>
      <c r="I2" t="s">
        <v>8</v>
      </c>
      <c r="J2" t="s">
        <v>8</v>
      </c>
    </row>
    <row r="3" ht="16.5" spans="1:10">
      <c r="A3" t="s">
        <v>9</v>
      </c>
      <c r="B3" t="s">
        <v>10</v>
      </c>
      <c r="C3" t="s">
        <v>42</v>
      </c>
      <c r="D3" t="s">
        <v>43</v>
      </c>
      <c r="E3" s="4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</row>
    <row r="4" ht="16.5" spans="1:10">
      <c r="A4" t="s">
        <v>23</v>
      </c>
      <c r="B4" t="s">
        <v>24</v>
      </c>
      <c r="C4" t="s">
        <v>50</v>
      </c>
      <c r="D4" t="s">
        <v>51</v>
      </c>
      <c r="E4" s="4" t="s">
        <v>32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</row>
    <row r="5" ht="16.5" spans="1:6">
      <c r="A5" s="4">
        <v>101001</v>
      </c>
      <c r="B5" s="4" t="s">
        <v>57</v>
      </c>
      <c r="C5" s="4">
        <v>1</v>
      </c>
      <c r="D5">
        <v>1</v>
      </c>
      <c r="E5">
        <v>1.1</v>
      </c>
      <c r="F5" t="s">
        <v>58</v>
      </c>
    </row>
    <row r="6" ht="16.5" spans="1:6">
      <c r="A6" s="4">
        <v>101002</v>
      </c>
      <c r="B6" s="4" t="s">
        <v>59</v>
      </c>
      <c r="C6" s="4">
        <v>2</v>
      </c>
      <c r="D6">
        <v>1</v>
      </c>
      <c r="E6">
        <v>1.2</v>
      </c>
      <c r="F6" t="s">
        <v>60</v>
      </c>
    </row>
    <row r="7" ht="16.5" spans="1:6">
      <c r="A7" s="4">
        <v>101003</v>
      </c>
      <c r="B7" s="4" t="s">
        <v>61</v>
      </c>
      <c r="C7" s="4">
        <v>3</v>
      </c>
      <c r="D7">
        <v>1</v>
      </c>
      <c r="E7">
        <v>1.3</v>
      </c>
      <c r="F7" t="s">
        <v>62</v>
      </c>
    </row>
    <row r="8" ht="16.5" spans="1:6">
      <c r="A8" s="4">
        <v>101004</v>
      </c>
      <c r="B8" s="4" t="s">
        <v>63</v>
      </c>
      <c r="C8" s="4">
        <v>4</v>
      </c>
      <c r="D8">
        <v>1</v>
      </c>
      <c r="E8">
        <v>1.4</v>
      </c>
      <c r="F8" t="s">
        <v>64</v>
      </c>
    </row>
    <row r="9" ht="16.5" spans="1:6">
      <c r="A9" s="4">
        <v>101005</v>
      </c>
      <c r="B9" s="4" t="s">
        <v>65</v>
      </c>
      <c r="C9" s="4">
        <v>5</v>
      </c>
      <c r="D9">
        <v>1</v>
      </c>
      <c r="E9">
        <v>1.5</v>
      </c>
      <c r="F9" t="s">
        <v>66</v>
      </c>
    </row>
    <row r="10" ht="16.5" spans="1:6">
      <c r="A10" s="4">
        <v>101006</v>
      </c>
      <c r="B10" s="4" t="s">
        <v>67</v>
      </c>
      <c r="C10" s="4">
        <v>6</v>
      </c>
      <c r="D10">
        <v>1</v>
      </c>
      <c r="E10">
        <v>1.6</v>
      </c>
      <c r="F10" t="s">
        <v>68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9"/>
  <sheetViews>
    <sheetView zoomScale="85" zoomScaleNormal="85" workbookViewId="0">
      <pane xSplit="2" ySplit="2" topLeftCell="C3" activePane="bottomRight" state="frozen"/>
      <selection/>
      <selection pane="topRight"/>
      <selection pane="bottomLeft"/>
      <selection pane="bottomRight" activeCell="G1" sqref="G1:G2"/>
    </sheetView>
  </sheetViews>
  <sheetFormatPr defaultColWidth="9.75" defaultRowHeight="16.5"/>
  <cols>
    <col min="1" max="1" width="8.5" style="4" customWidth="1"/>
    <col min="2" max="2" width="15.375" style="4" customWidth="1"/>
    <col min="3" max="3" width="9.25" style="4" customWidth="1"/>
    <col min="4" max="4" width="5.5" style="4" customWidth="1"/>
    <col min="5" max="5" width="9.25" style="4" customWidth="1"/>
    <col min="6" max="6" width="14.625" style="4" customWidth="1"/>
    <col min="7" max="7" width="9.5" style="4" customWidth="1"/>
    <col min="8" max="8" width="10" style="4" customWidth="1"/>
    <col min="9" max="9" width="23" style="4" customWidth="1"/>
    <col min="10" max="10" width="9.625" style="4" customWidth="1"/>
    <col min="11" max="11" width="15.875" style="4" customWidth="1"/>
    <col min="12" max="12" width="9.25" style="4" customWidth="1"/>
    <col min="13" max="13" width="13.25" style="4" customWidth="1"/>
    <col min="14" max="15" width="9.25" style="4" customWidth="1"/>
    <col min="16" max="16" width="10" style="4" customWidth="1"/>
    <col min="17" max="17" width="11.25" style="4" customWidth="1"/>
    <col min="18" max="18" width="10" style="4" customWidth="1"/>
    <col min="19" max="19" width="10.5" style="4" customWidth="1"/>
    <col min="20" max="22" width="9.25" style="4" customWidth="1"/>
    <col min="23" max="23" width="6.25" style="4" customWidth="1"/>
    <col min="24" max="24" width="41.75" style="4" customWidth="1"/>
    <col min="25" max="16384" width="9.75" style="4"/>
  </cols>
  <sheetData>
    <row r="1" spans="1:23">
      <c r="A1" s="4" t="s">
        <v>69</v>
      </c>
      <c r="B1" s="4" t="s">
        <v>10</v>
      </c>
      <c r="C1" s="4" t="s">
        <v>70</v>
      </c>
      <c r="D1" s="4" t="s">
        <v>42</v>
      </c>
      <c r="E1" s="4" t="s">
        <v>71</v>
      </c>
      <c r="F1" s="4" t="s">
        <v>72</v>
      </c>
      <c r="G1" s="4" t="s">
        <v>44</v>
      </c>
      <c r="H1" s="4" t="s">
        <v>73</v>
      </c>
      <c r="I1" s="4" t="s">
        <v>74</v>
      </c>
      <c r="J1" s="4" t="s">
        <v>75</v>
      </c>
      <c r="K1" s="4" t="s">
        <v>76</v>
      </c>
      <c r="L1" s="4" t="s">
        <v>77</v>
      </c>
      <c r="M1" s="4" t="s">
        <v>15</v>
      </c>
      <c r="N1" s="4" t="s">
        <v>78</v>
      </c>
      <c r="O1" s="4" t="s">
        <v>79</v>
      </c>
      <c r="P1" s="4" t="s">
        <v>80</v>
      </c>
      <c r="Q1" s="4" t="s">
        <v>81</v>
      </c>
      <c r="R1" s="4" t="s">
        <v>82</v>
      </c>
      <c r="S1" s="4" t="s">
        <v>83</v>
      </c>
      <c r="T1" s="4" t="s">
        <v>84</v>
      </c>
      <c r="U1" s="4" t="s">
        <v>85</v>
      </c>
      <c r="V1" s="4" t="s">
        <v>86</v>
      </c>
      <c r="W1" s="4" t="s">
        <v>87</v>
      </c>
    </row>
    <row r="2" spans="1:24">
      <c r="A2" s="4" t="s">
        <v>88</v>
      </c>
      <c r="B2" s="4" t="s">
        <v>24</v>
      </c>
      <c r="C2" s="4" t="s">
        <v>89</v>
      </c>
      <c r="D2" s="4" t="s">
        <v>50</v>
      </c>
      <c r="E2" s="4" t="s">
        <v>90</v>
      </c>
      <c r="F2" s="4" t="s">
        <v>91</v>
      </c>
      <c r="G2" s="4" t="s">
        <v>32</v>
      </c>
      <c r="H2" s="4" t="s">
        <v>92</v>
      </c>
      <c r="I2" s="4" t="s">
        <v>93</v>
      </c>
      <c r="J2" s="4" t="s">
        <v>94</v>
      </c>
      <c r="K2" s="4" t="s">
        <v>95</v>
      </c>
      <c r="L2" s="4" t="s">
        <v>96</v>
      </c>
      <c r="M2" s="4" t="s">
        <v>97</v>
      </c>
      <c r="N2" s="4" t="s">
        <v>98</v>
      </c>
      <c r="O2" s="4" t="s">
        <v>99</v>
      </c>
      <c r="P2" s="4" t="s">
        <v>100</v>
      </c>
      <c r="Q2" s="4" t="s">
        <v>101</v>
      </c>
      <c r="R2" s="4" t="s">
        <v>102</v>
      </c>
      <c r="S2" s="4" t="s">
        <v>103</v>
      </c>
      <c r="T2" s="4" t="s">
        <v>104</v>
      </c>
      <c r="U2" s="4" t="s">
        <v>105</v>
      </c>
      <c r="V2" s="4" t="s">
        <v>106</v>
      </c>
      <c r="W2" s="4" t="s">
        <v>107</v>
      </c>
      <c r="X2" s="4" t="s">
        <v>108</v>
      </c>
    </row>
    <row r="3" spans="1:17">
      <c r="A3" s="4">
        <v>101001</v>
      </c>
      <c r="B3" s="4" t="s">
        <v>57</v>
      </c>
      <c r="C3" s="4">
        <v>101</v>
      </c>
      <c r="D3" s="4">
        <v>1</v>
      </c>
      <c r="E3" s="5">
        <v>1</v>
      </c>
      <c r="F3" s="6" t="s">
        <v>109</v>
      </c>
      <c r="G3" s="4">
        <v>1500</v>
      </c>
      <c r="H3" s="4">
        <v>1000</v>
      </c>
      <c r="I3" s="4" t="s">
        <v>110</v>
      </c>
      <c r="J3" s="4">
        <v>360</v>
      </c>
      <c r="L3" s="4">
        <v>2000</v>
      </c>
      <c r="M3" s="4">
        <v>1000</v>
      </c>
      <c r="N3" s="4">
        <v>1</v>
      </c>
      <c r="P3" s="4">
        <v>0</v>
      </c>
      <c r="Q3" s="4">
        <v>0</v>
      </c>
    </row>
    <row r="4" spans="1:17">
      <c r="A4" s="4">
        <v>101002</v>
      </c>
      <c r="B4" s="4" t="s">
        <v>59</v>
      </c>
      <c r="C4" s="4">
        <v>101</v>
      </c>
      <c r="D4" s="4">
        <v>2</v>
      </c>
      <c r="E4" s="5">
        <v>1</v>
      </c>
      <c r="F4" s="6" t="s">
        <v>109</v>
      </c>
      <c r="G4" s="4">
        <v>2000</v>
      </c>
      <c r="H4" s="4">
        <v>1000</v>
      </c>
      <c r="I4" s="4" t="s">
        <v>110</v>
      </c>
      <c r="J4" s="4">
        <v>360</v>
      </c>
      <c r="L4" s="4">
        <v>2000</v>
      </c>
      <c r="M4" s="4">
        <v>1000</v>
      </c>
      <c r="N4" s="4">
        <v>2</v>
      </c>
      <c r="P4" s="4">
        <v>0</v>
      </c>
      <c r="Q4" s="4">
        <v>0</v>
      </c>
    </row>
    <row r="5" spans="1:17">
      <c r="A5" s="4">
        <v>101003</v>
      </c>
      <c r="B5" s="4" t="s">
        <v>61</v>
      </c>
      <c r="C5" s="4">
        <v>101</v>
      </c>
      <c r="D5" s="4">
        <v>3</v>
      </c>
      <c r="E5" s="5">
        <v>1</v>
      </c>
      <c r="F5" s="6" t="s">
        <v>109</v>
      </c>
      <c r="G5" s="4">
        <v>3000</v>
      </c>
      <c r="H5" s="4">
        <v>1000</v>
      </c>
      <c r="I5" s="4" t="s">
        <v>110</v>
      </c>
      <c r="J5" s="4">
        <v>360</v>
      </c>
      <c r="L5" s="4">
        <v>2000</v>
      </c>
      <c r="M5" s="4">
        <v>1000</v>
      </c>
      <c r="N5" s="4">
        <v>3</v>
      </c>
      <c r="P5" s="4">
        <v>0</v>
      </c>
      <c r="Q5" s="4">
        <v>0</v>
      </c>
    </row>
    <row r="6" spans="1:17">
      <c r="A6" s="4">
        <v>101004</v>
      </c>
      <c r="B6" s="4" t="s">
        <v>63</v>
      </c>
      <c r="C6" s="4">
        <v>101</v>
      </c>
      <c r="D6" s="4">
        <v>4</v>
      </c>
      <c r="E6" s="5">
        <v>1</v>
      </c>
      <c r="F6" s="6" t="s">
        <v>109</v>
      </c>
      <c r="G6" s="4">
        <v>4000</v>
      </c>
      <c r="H6" s="4">
        <v>1000</v>
      </c>
      <c r="I6" s="4" t="s">
        <v>110</v>
      </c>
      <c r="J6" s="4">
        <v>360</v>
      </c>
      <c r="L6" s="4">
        <v>2000</v>
      </c>
      <c r="M6" s="4">
        <v>1000</v>
      </c>
      <c r="N6" s="4">
        <v>4</v>
      </c>
      <c r="P6" s="4">
        <v>0</v>
      </c>
      <c r="Q6" s="4">
        <v>0</v>
      </c>
    </row>
    <row r="7" spans="1:17">
      <c r="A7" s="4">
        <v>101005</v>
      </c>
      <c r="B7" s="4" t="s">
        <v>65</v>
      </c>
      <c r="C7" s="4">
        <v>101</v>
      </c>
      <c r="D7" s="4">
        <v>5</v>
      </c>
      <c r="E7" s="5">
        <v>1</v>
      </c>
      <c r="F7" s="6" t="s">
        <v>109</v>
      </c>
      <c r="G7" s="4">
        <v>5000</v>
      </c>
      <c r="H7" s="4">
        <v>1000</v>
      </c>
      <c r="I7" s="4" t="s">
        <v>110</v>
      </c>
      <c r="J7" s="4">
        <v>360</v>
      </c>
      <c r="L7" s="4">
        <v>2000</v>
      </c>
      <c r="M7" s="4">
        <v>1000</v>
      </c>
      <c r="N7" s="4">
        <v>5</v>
      </c>
      <c r="P7" s="4">
        <v>0</v>
      </c>
      <c r="Q7" s="4">
        <v>0</v>
      </c>
    </row>
    <row r="8" spans="1:24">
      <c r="A8" s="4">
        <v>101006</v>
      </c>
      <c r="B8" s="4" t="s">
        <v>67</v>
      </c>
      <c r="C8" s="4">
        <v>101</v>
      </c>
      <c r="D8" s="4">
        <v>6</v>
      </c>
      <c r="E8" s="5">
        <v>1</v>
      </c>
      <c r="F8" s="6" t="s">
        <v>109</v>
      </c>
      <c r="G8" s="4">
        <v>5000</v>
      </c>
      <c r="H8" s="4">
        <v>1000</v>
      </c>
      <c r="I8" s="4" t="s">
        <v>110</v>
      </c>
      <c r="J8" s="4">
        <v>360</v>
      </c>
      <c r="L8" s="4">
        <v>2000</v>
      </c>
      <c r="M8" s="4">
        <v>1000</v>
      </c>
      <c r="N8" s="4">
        <v>5</v>
      </c>
      <c r="P8" s="4">
        <v>0</v>
      </c>
      <c r="Q8" s="4">
        <v>0</v>
      </c>
      <c r="T8" s="4">
        <v>1</v>
      </c>
      <c r="U8" s="4">
        <v>1</v>
      </c>
      <c r="X8" s="4" t="s">
        <v>111</v>
      </c>
    </row>
    <row r="9" spans="1:17">
      <c r="A9" s="4">
        <f>A3+1000</f>
        <v>102001</v>
      </c>
      <c r="B9" s="4" t="s">
        <v>112</v>
      </c>
      <c r="C9" s="4">
        <v>102</v>
      </c>
      <c r="D9" s="4">
        <v>1</v>
      </c>
      <c r="E9" s="5">
        <v>1</v>
      </c>
      <c r="F9" s="6" t="s">
        <v>109</v>
      </c>
      <c r="G9" s="4">
        <v>2500</v>
      </c>
      <c r="H9" s="4">
        <v>400</v>
      </c>
      <c r="I9" s="4" t="s">
        <v>113</v>
      </c>
      <c r="J9" s="4">
        <v>90</v>
      </c>
      <c r="L9" s="4">
        <v>2000</v>
      </c>
      <c r="M9" s="4">
        <v>1500</v>
      </c>
      <c r="N9" s="4">
        <v>1</v>
      </c>
      <c r="P9" s="4">
        <v>6</v>
      </c>
      <c r="Q9" s="4">
        <v>2000</v>
      </c>
    </row>
    <row r="10" spans="1:17">
      <c r="A10" s="4">
        <f t="shared" ref="A10:A73" si="0">A4+1000</f>
        <v>102002</v>
      </c>
      <c r="B10" s="4" t="s">
        <v>114</v>
      </c>
      <c r="C10" s="4">
        <v>102</v>
      </c>
      <c r="D10" s="4">
        <v>2</v>
      </c>
      <c r="E10" s="5">
        <v>1</v>
      </c>
      <c r="F10" s="6" t="s">
        <v>109</v>
      </c>
      <c r="G10" s="4">
        <v>5000</v>
      </c>
      <c r="H10" s="4">
        <v>400</v>
      </c>
      <c r="I10" s="4" t="s">
        <v>113</v>
      </c>
      <c r="J10" s="4">
        <v>90</v>
      </c>
      <c r="L10" s="4">
        <v>2000</v>
      </c>
      <c r="M10" s="4">
        <v>1500</v>
      </c>
      <c r="N10" s="4">
        <v>1</v>
      </c>
      <c r="P10" s="4">
        <v>6</v>
      </c>
      <c r="Q10" s="4">
        <v>2000</v>
      </c>
    </row>
    <row r="11" spans="1:17">
      <c r="A11" s="4">
        <f t="shared" si="0"/>
        <v>102003</v>
      </c>
      <c r="B11" s="4" t="s">
        <v>115</v>
      </c>
      <c r="C11" s="4">
        <v>102</v>
      </c>
      <c r="D11" s="4">
        <v>3</v>
      </c>
      <c r="E11" s="5">
        <v>1</v>
      </c>
      <c r="F11" s="6" t="s">
        <v>109</v>
      </c>
      <c r="G11" s="4">
        <v>10000</v>
      </c>
      <c r="H11" s="4">
        <v>400</v>
      </c>
      <c r="I11" s="4" t="s">
        <v>113</v>
      </c>
      <c r="J11" s="4">
        <v>90</v>
      </c>
      <c r="L11" s="4">
        <v>2000</v>
      </c>
      <c r="M11" s="4">
        <v>1500</v>
      </c>
      <c r="N11" s="4">
        <v>1</v>
      </c>
      <c r="P11" s="4">
        <v>6</v>
      </c>
      <c r="Q11" s="4">
        <v>2000</v>
      </c>
    </row>
    <row r="12" spans="1:17">
      <c r="A12" s="4">
        <f t="shared" si="0"/>
        <v>102004</v>
      </c>
      <c r="B12" s="4" t="s">
        <v>116</v>
      </c>
      <c r="C12" s="4">
        <v>102</v>
      </c>
      <c r="D12" s="4">
        <v>4</v>
      </c>
      <c r="E12" s="5">
        <v>1</v>
      </c>
      <c r="F12" s="6" t="s">
        <v>109</v>
      </c>
      <c r="G12" s="4">
        <v>20000</v>
      </c>
      <c r="H12" s="4">
        <v>400</v>
      </c>
      <c r="I12" s="4" t="s">
        <v>113</v>
      </c>
      <c r="J12" s="4">
        <v>90</v>
      </c>
      <c r="L12" s="4">
        <v>2000</v>
      </c>
      <c r="M12" s="4">
        <v>1500</v>
      </c>
      <c r="N12" s="4">
        <v>1</v>
      </c>
      <c r="P12" s="4">
        <v>6</v>
      </c>
      <c r="Q12" s="4">
        <v>2000</v>
      </c>
    </row>
    <row r="13" spans="1:17">
      <c r="A13" s="4">
        <f t="shared" si="0"/>
        <v>102005</v>
      </c>
      <c r="B13" s="4" t="s">
        <v>117</v>
      </c>
      <c r="C13" s="4">
        <v>102</v>
      </c>
      <c r="D13" s="4">
        <v>5</v>
      </c>
      <c r="E13" s="5">
        <v>1</v>
      </c>
      <c r="F13" s="6" t="s">
        <v>109</v>
      </c>
      <c r="G13" s="4">
        <v>40000</v>
      </c>
      <c r="H13" s="4">
        <v>400</v>
      </c>
      <c r="I13" s="4" t="s">
        <v>113</v>
      </c>
      <c r="J13" s="4">
        <v>90</v>
      </c>
      <c r="L13" s="4">
        <v>2000</v>
      </c>
      <c r="M13" s="4">
        <v>1500</v>
      </c>
      <c r="N13" s="4">
        <v>1</v>
      </c>
      <c r="P13" s="4">
        <v>6</v>
      </c>
      <c r="Q13" s="4">
        <v>2000</v>
      </c>
    </row>
    <row r="14" spans="1:24">
      <c r="A14" s="4">
        <f t="shared" si="0"/>
        <v>102006</v>
      </c>
      <c r="B14" s="4" t="s">
        <v>118</v>
      </c>
      <c r="C14" s="4">
        <v>102</v>
      </c>
      <c r="D14" s="4">
        <v>6</v>
      </c>
      <c r="E14" s="5">
        <v>1</v>
      </c>
      <c r="F14" s="6" t="s">
        <v>109</v>
      </c>
      <c r="G14" s="4">
        <v>40000</v>
      </c>
      <c r="H14" s="4">
        <v>400</v>
      </c>
      <c r="I14" s="4" t="s">
        <v>113</v>
      </c>
      <c r="J14" s="4">
        <v>90</v>
      </c>
      <c r="L14" s="4">
        <v>2000</v>
      </c>
      <c r="M14" s="4">
        <v>1500</v>
      </c>
      <c r="N14" s="4">
        <v>2</v>
      </c>
      <c r="P14" s="4">
        <v>6</v>
      </c>
      <c r="Q14" s="4">
        <v>2000</v>
      </c>
      <c r="X14" s="4" t="s">
        <v>119</v>
      </c>
    </row>
    <row r="15" spans="1:21">
      <c r="A15" s="4">
        <f t="shared" si="0"/>
        <v>103001</v>
      </c>
      <c r="B15" s="4" t="s">
        <v>120</v>
      </c>
      <c r="C15" s="4">
        <v>103</v>
      </c>
      <c r="D15" s="4">
        <v>1</v>
      </c>
      <c r="E15" s="5">
        <v>1</v>
      </c>
      <c r="F15" s="6" t="s">
        <v>109</v>
      </c>
      <c r="G15" s="4">
        <v>1000</v>
      </c>
      <c r="H15" s="4">
        <v>2000</v>
      </c>
      <c r="I15" s="4" t="s">
        <v>121</v>
      </c>
      <c r="J15" s="4">
        <v>0</v>
      </c>
      <c r="K15" s="4" t="s">
        <v>122</v>
      </c>
      <c r="L15" s="4">
        <v>500</v>
      </c>
      <c r="M15" s="4">
        <v>1500</v>
      </c>
      <c r="N15" s="4">
        <v>3</v>
      </c>
      <c r="P15" s="4">
        <v>0</v>
      </c>
      <c r="Q15" s="4">
        <v>0</v>
      </c>
      <c r="S15" s="4">
        <v>200</v>
      </c>
      <c r="T15" s="4">
        <v>1</v>
      </c>
      <c r="U15" s="4">
        <v>1000</v>
      </c>
    </row>
    <row r="16" spans="1:21">
      <c r="A16" s="4">
        <f t="shared" si="0"/>
        <v>103002</v>
      </c>
      <c r="B16" s="4" t="s">
        <v>123</v>
      </c>
      <c r="C16" s="4">
        <v>103</v>
      </c>
      <c r="D16" s="4">
        <v>2</v>
      </c>
      <c r="E16" s="5">
        <v>1</v>
      </c>
      <c r="F16" s="6" t="s">
        <v>109</v>
      </c>
      <c r="G16" s="4">
        <v>1250</v>
      </c>
      <c r="H16" s="4">
        <v>2000</v>
      </c>
      <c r="I16" s="4" t="s">
        <v>121</v>
      </c>
      <c r="J16" s="4">
        <v>0</v>
      </c>
      <c r="K16" s="4" t="s">
        <v>122</v>
      </c>
      <c r="L16" s="4">
        <v>500</v>
      </c>
      <c r="M16" s="4">
        <v>1500</v>
      </c>
      <c r="N16" s="4">
        <v>6</v>
      </c>
      <c r="P16" s="4">
        <v>0</v>
      </c>
      <c r="Q16" s="4">
        <v>0</v>
      </c>
      <c r="S16" s="4">
        <v>200</v>
      </c>
      <c r="T16" s="4">
        <v>1</v>
      </c>
      <c r="U16" s="4">
        <v>1000</v>
      </c>
    </row>
    <row r="17" spans="1:21">
      <c r="A17" s="4">
        <f t="shared" si="0"/>
        <v>103003</v>
      </c>
      <c r="B17" s="4" t="s">
        <v>124</v>
      </c>
      <c r="C17" s="4">
        <v>103</v>
      </c>
      <c r="D17" s="4">
        <v>3</v>
      </c>
      <c r="E17" s="5">
        <v>1</v>
      </c>
      <c r="F17" s="6" t="s">
        <v>109</v>
      </c>
      <c r="G17" s="4">
        <v>1500</v>
      </c>
      <c r="H17" s="4">
        <v>2000</v>
      </c>
      <c r="I17" s="4" t="s">
        <v>121</v>
      </c>
      <c r="J17" s="4">
        <v>0</v>
      </c>
      <c r="K17" s="4" t="s">
        <v>122</v>
      </c>
      <c r="L17" s="4">
        <v>500</v>
      </c>
      <c r="M17" s="4">
        <v>1500</v>
      </c>
      <c r="N17" s="4">
        <v>9</v>
      </c>
      <c r="P17" s="4">
        <v>0</v>
      </c>
      <c r="Q17" s="4">
        <v>0</v>
      </c>
      <c r="S17" s="4">
        <v>200</v>
      </c>
      <c r="T17" s="4">
        <v>1</v>
      </c>
      <c r="U17" s="4">
        <v>1000</v>
      </c>
    </row>
    <row r="18" spans="1:21">
      <c r="A18" s="4">
        <f t="shared" si="0"/>
        <v>103004</v>
      </c>
      <c r="B18" s="4" t="s">
        <v>125</v>
      </c>
      <c r="C18" s="4">
        <v>103</v>
      </c>
      <c r="D18" s="4">
        <v>4</v>
      </c>
      <c r="E18" s="5">
        <v>1</v>
      </c>
      <c r="F18" s="6" t="s">
        <v>109</v>
      </c>
      <c r="G18" s="4">
        <v>1750</v>
      </c>
      <c r="H18" s="4">
        <v>2000</v>
      </c>
      <c r="I18" s="4" t="s">
        <v>121</v>
      </c>
      <c r="J18" s="4">
        <v>0</v>
      </c>
      <c r="K18" s="4" t="s">
        <v>122</v>
      </c>
      <c r="L18" s="4">
        <v>500</v>
      </c>
      <c r="M18" s="4">
        <v>1500</v>
      </c>
      <c r="N18" s="4">
        <v>12</v>
      </c>
      <c r="P18" s="4">
        <v>0</v>
      </c>
      <c r="Q18" s="4">
        <v>0</v>
      </c>
      <c r="S18" s="4">
        <v>200</v>
      </c>
      <c r="T18" s="4">
        <v>1</v>
      </c>
      <c r="U18" s="4">
        <v>1000</v>
      </c>
    </row>
    <row r="19" spans="1:21">
      <c r="A19" s="4">
        <f t="shared" si="0"/>
        <v>103005</v>
      </c>
      <c r="B19" s="4" t="s">
        <v>126</v>
      </c>
      <c r="C19" s="4">
        <v>103</v>
      </c>
      <c r="D19" s="4">
        <v>5</v>
      </c>
      <c r="E19" s="5">
        <v>1</v>
      </c>
      <c r="F19" s="6" t="s">
        <v>109</v>
      </c>
      <c r="G19" s="4">
        <v>2000</v>
      </c>
      <c r="H19" s="4">
        <v>2000</v>
      </c>
      <c r="I19" s="4" t="s">
        <v>121</v>
      </c>
      <c r="J19" s="4">
        <v>0</v>
      </c>
      <c r="K19" s="4" t="s">
        <v>122</v>
      </c>
      <c r="L19" s="4">
        <v>500</v>
      </c>
      <c r="M19" s="4">
        <v>1500</v>
      </c>
      <c r="N19" s="4">
        <v>15</v>
      </c>
      <c r="P19" s="4">
        <v>0</v>
      </c>
      <c r="Q19" s="4">
        <v>0</v>
      </c>
      <c r="S19" s="4">
        <v>200</v>
      </c>
      <c r="T19" s="4">
        <v>1</v>
      </c>
      <c r="U19" s="4">
        <v>1000</v>
      </c>
    </row>
    <row r="20" spans="1:24">
      <c r="A20" s="4">
        <f t="shared" si="0"/>
        <v>103006</v>
      </c>
      <c r="B20" s="4" t="s">
        <v>127</v>
      </c>
      <c r="C20" s="4">
        <v>103</v>
      </c>
      <c r="D20" s="4">
        <v>6</v>
      </c>
      <c r="E20" s="5">
        <v>1</v>
      </c>
      <c r="F20" s="6" t="s">
        <v>109</v>
      </c>
      <c r="G20" s="4">
        <v>2000</v>
      </c>
      <c r="H20" s="4">
        <v>40</v>
      </c>
      <c r="I20" s="4" t="s">
        <v>121</v>
      </c>
      <c r="J20" s="4">
        <v>0</v>
      </c>
      <c r="K20" s="4" t="s">
        <v>122</v>
      </c>
      <c r="L20" s="4">
        <v>2000</v>
      </c>
      <c r="M20" s="4">
        <v>1500</v>
      </c>
      <c r="N20" s="4">
        <v>1</v>
      </c>
      <c r="P20" s="4">
        <v>0</v>
      </c>
      <c r="Q20" s="4">
        <v>0</v>
      </c>
      <c r="S20" s="4">
        <v>200</v>
      </c>
      <c r="T20" s="4">
        <v>-1</v>
      </c>
      <c r="U20" s="4">
        <v>1000</v>
      </c>
      <c r="X20" s="4" t="s">
        <v>128</v>
      </c>
    </row>
    <row r="21" spans="1:21">
      <c r="A21" s="4">
        <f t="shared" si="0"/>
        <v>104001</v>
      </c>
      <c r="B21" s="4" t="s">
        <v>129</v>
      </c>
      <c r="C21" s="4">
        <v>104</v>
      </c>
      <c r="D21" s="4">
        <v>1</v>
      </c>
      <c r="E21" s="5">
        <v>1</v>
      </c>
      <c r="F21" s="7" t="s">
        <v>130</v>
      </c>
      <c r="G21" s="4">
        <v>3000</v>
      </c>
      <c r="H21" s="4">
        <v>1000</v>
      </c>
      <c r="I21" s="4" t="s">
        <v>121</v>
      </c>
      <c r="J21" s="4">
        <v>0</v>
      </c>
      <c r="K21" s="4" t="s">
        <v>122</v>
      </c>
      <c r="L21" s="4">
        <v>0</v>
      </c>
      <c r="M21" s="4">
        <v>0</v>
      </c>
      <c r="N21" s="4">
        <v>1</v>
      </c>
      <c r="O21" s="4">
        <v>1</v>
      </c>
      <c r="P21" s="4">
        <v>0</v>
      </c>
      <c r="Q21" s="4">
        <v>0</v>
      </c>
      <c r="S21" s="4">
        <v>200</v>
      </c>
      <c r="T21" s="4">
        <v>1</v>
      </c>
      <c r="U21" s="4">
        <v>1</v>
      </c>
    </row>
    <row r="22" spans="1:21">
      <c r="A22" s="4">
        <f t="shared" si="0"/>
        <v>104002</v>
      </c>
      <c r="B22" s="4" t="s">
        <v>131</v>
      </c>
      <c r="C22" s="4">
        <v>104</v>
      </c>
      <c r="D22" s="4">
        <v>2</v>
      </c>
      <c r="E22" s="5">
        <v>1</v>
      </c>
      <c r="F22" s="7" t="s">
        <v>130</v>
      </c>
      <c r="G22" s="4">
        <v>4000</v>
      </c>
      <c r="H22" s="4">
        <v>850</v>
      </c>
      <c r="I22" s="4" t="s">
        <v>121</v>
      </c>
      <c r="J22" s="4">
        <v>0</v>
      </c>
      <c r="K22" s="4" t="s">
        <v>122</v>
      </c>
      <c r="L22" s="4">
        <v>0</v>
      </c>
      <c r="M22" s="4">
        <v>0</v>
      </c>
      <c r="N22" s="4">
        <v>1</v>
      </c>
      <c r="O22" s="4">
        <v>1.2</v>
      </c>
      <c r="P22" s="4">
        <v>0</v>
      </c>
      <c r="Q22" s="4">
        <v>0</v>
      </c>
      <c r="S22" s="4">
        <v>200</v>
      </c>
      <c r="T22" s="4">
        <v>1</v>
      </c>
      <c r="U22" s="4">
        <v>1</v>
      </c>
    </row>
    <row r="23" spans="1:21">
      <c r="A23" s="4">
        <f t="shared" si="0"/>
        <v>104003</v>
      </c>
      <c r="B23" s="4" t="s">
        <v>132</v>
      </c>
      <c r="C23" s="4">
        <v>104</v>
      </c>
      <c r="D23" s="4">
        <v>3</v>
      </c>
      <c r="E23" s="5">
        <v>1</v>
      </c>
      <c r="F23" s="7" t="s">
        <v>130</v>
      </c>
      <c r="G23" s="4">
        <v>5000</v>
      </c>
      <c r="H23" s="4">
        <v>700</v>
      </c>
      <c r="I23" s="4" t="s">
        <v>121</v>
      </c>
      <c r="J23" s="4">
        <v>0</v>
      </c>
      <c r="K23" s="4" t="s">
        <v>122</v>
      </c>
      <c r="L23" s="4">
        <v>0</v>
      </c>
      <c r="M23" s="4">
        <v>0</v>
      </c>
      <c r="N23" s="4">
        <v>1</v>
      </c>
      <c r="O23" s="4">
        <v>1.4</v>
      </c>
      <c r="P23" s="4">
        <v>0</v>
      </c>
      <c r="Q23" s="4">
        <v>0</v>
      </c>
      <c r="S23" s="4">
        <v>200</v>
      </c>
      <c r="T23" s="4">
        <v>1</v>
      </c>
      <c r="U23" s="4">
        <v>1</v>
      </c>
    </row>
    <row r="24" spans="1:21">
      <c r="A24" s="4">
        <f t="shared" si="0"/>
        <v>104004</v>
      </c>
      <c r="B24" s="4" t="s">
        <v>133</v>
      </c>
      <c r="C24" s="4">
        <v>104</v>
      </c>
      <c r="D24" s="4">
        <v>4</v>
      </c>
      <c r="E24" s="5">
        <v>1</v>
      </c>
      <c r="F24" s="7" t="s">
        <v>130</v>
      </c>
      <c r="G24" s="4">
        <v>6000</v>
      </c>
      <c r="H24" s="4">
        <v>550</v>
      </c>
      <c r="I24" s="4" t="s">
        <v>121</v>
      </c>
      <c r="J24" s="4">
        <v>0</v>
      </c>
      <c r="K24" s="4" t="s">
        <v>122</v>
      </c>
      <c r="L24" s="4">
        <v>0</v>
      </c>
      <c r="M24" s="4">
        <v>0</v>
      </c>
      <c r="N24" s="4">
        <v>1</v>
      </c>
      <c r="O24" s="4">
        <v>1.6</v>
      </c>
      <c r="P24" s="4">
        <v>0</v>
      </c>
      <c r="Q24" s="4">
        <v>0</v>
      </c>
      <c r="S24" s="4">
        <v>200</v>
      </c>
      <c r="T24" s="4">
        <v>1</v>
      </c>
      <c r="U24" s="4">
        <v>1</v>
      </c>
    </row>
    <row r="25" spans="1:21">
      <c r="A25" s="4">
        <f t="shared" si="0"/>
        <v>104005</v>
      </c>
      <c r="B25" s="4" t="s">
        <v>134</v>
      </c>
      <c r="C25" s="4">
        <v>104</v>
      </c>
      <c r="D25" s="4">
        <v>5</v>
      </c>
      <c r="E25" s="5">
        <v>1</v>
      </c>
      <c r="F25" s="7" t="s">
        <v>130</v>
      </c>
      <c r="G25" s="4">
        <v>7500</v>
      </c>
      <c r="H25" s="4">
        <v>400</v>
      </c>
      <c r="I25" s="4" t="s">
        <v>121</v>
      </c>
      <c r="J25" s="4">
        <v>0</v>
      </c>
      <c r="K25" s="4" t="s">
        <v>122</v>
      </c>
      <c r="L25" s="4">
        <v>0</v>
      </c>
      <c r="M25" s="4">
        <v>0</v>
      </c>
      <c r="N25" s="4">
        <v>1</v>
      </c>
      <c r="O25" s="4">
        <v>1.8</v>
      </c>
      <c r="P25" s="4">
        <v>0</v>
      </c>
      <c r="Q25" s="4">
        <v>0</v>
      </c>
      <c r="S25" s="4">
        <v>200</v>
      </c>
      <c r="T25" s="4">
        <v>1</v>
      </c>
      <c r="U25" s="4">
        <v>1</v>
      </c>
    </row>
    <row r="26" spans="1:24">
      <c r="A26" s="4">
        <f t="shared" si="0"/>
        <v>104006</v>
      </c>
      <c r="B26" s="4" t="s">
        <v>135</v>
      </c>
      <c r="C26" s="4">
        <v>104</v>
      </c>
      <c r="D26" s="4">
        <v>6</v>
      </c>
      <c r="E26" s="5">
        <v>1</v>
      </c>
      <c r="F26" s="7" t="s">
        <v>130</v>
      </c>
      <c r="G26" s="4">
        <v>10000</v>
      </c>
      <c r="H26" s="4">
        <v>1000</v>
      </c>
      <c r="I26" s="4" t="s">
        <v>121</v>
      </c>
      <c r="J26" s="4">
        <v>0</v>
      </c>
      <c r="K26" s="4" t="s">
        <v>122</v>
      </c>
      <c r="L26" s="4">
        <v>0</v>
      </c>
      <c r="M26" s="4">
        <v>0</v>
      </c>
      <c r="N26" s="4">
        <v>1</v>
      </c>
      <c r="O26" s="4">
        <v>2</v>
      </c>
      <c r="P26" s="4">
        <v>0</v>
      </c>
      <c r="Q26" s="4">
        <v>0</v>
      </c>
      <c r="S26" s="4">
        <v>200</v>
      </c>
      <c r="T26" s="4">
        <v>1</v>
      </c>
      <c r="U26" s="4">
        <v>1</v>
      </c>
      <c r="X26" s="4" t="s">
        <v>136</v>
      </c>
    </row>
    <row r="27" spans="1:24">
      <c r="A27" s="4">
        <f t="shared" si="0"/>
        <v>105001</v>
      </c>
      <c r="B27" s="4" t="s">
        <v>137</v>
      </c>
      <c r="C27" s="4">
        <v>105</v>
      </c>
      <c r="D27" s="4">
        <v>1</v>
      </c>
      <c r="E27" s="5">
        <v>1</v>
      </c>
      <c r="F27" s="7" t="s">
        <v>130</v>
      </c>
      <c r="G27" s="4">
        <v>2500</v>
      </c>
      <c r="H27" s="4">
        <v>1000</v>
      </c>
      <c r="I27" s="4" t="s">
        <v>121</v>
      </c>
      <c r="J27" s="4">
        <v>0</v>
      </c>
      <c r="K27" s="4">
        <v>0</v>
      </c>
      <c r="L27" s="4">
        <v>0</v>
      </c>
      <c r="M27" s="4">
        <v>0</v>
      </c>
      <c r="N27" s="4">
        <v>1</v>
      </c>
      <c r="P27" s="4">
        <v>0</v>
      </c>
      <c r="Q27" s="4">
        <v>0</v>
      </c>
      <c r="T27" s="4">
        <v>1</v>
      </c>
      <c r="U27" s="4">
        <v>1</v>
      </c>
      <c r="X27" s="4" t="s">
        <v>138</v>
      </c>
    </row>
    <row r="28" spans="1:24">
      <c r="A28" s="4">
        <f t="shared" si="0"/>
        <v>105002</v>
      </c>
      <c r="B28" s="4" t="s">
        <v>139</v>
      </c>
      <c r="C28" s="4">
        <v>105</v>
      </c>
      <c r="D28" s="4">
        <v>2</v>
      </c>
      <c r="E28" s="5">
        <v>1</v>
      </c>
      <c r="F28" s="7" t="s">
        <v>130</v>
      </c>
      <c r="G28" s="4">
        <v>3000</v>
      </c>
      <c r="H28" s="4">
        <v>1000</v>
      </c>
      <c r="I28" s="4" t="s">
        <v>121</v>
      </c>
      <c r="J28" s="4">
        <v>0</v>
      </c>
      <c r="K28" s="4">
        <v>0</v>
      </c>
      <c r="L28" s="4">
        <v>0</v>
      </c>
      <c r="M28" s="4">
        <v>0</v>
      </c>
      <c r="N28" s="4">
        <v>2</v>
      </c>
      <c r="P28" s="4">
        <v>0</v>
      </c>
      <c r="Q28" s="4">
        <v>0</v>
      </c>
      <c r="T28" s="4">
        <v>1</v>
      </c>
      <c r="U28" s="4">
        <v>1</v>
      </c>
      <c r="X28" s="4" t="s">
        <v>138</v>
      </c>
    </row>
    <row r="29" spans="1:24">
      <c r="A29" s="4">
        <f t="shared" si="0"/>
        <v>105003</v>
      </c>
      <c r="B29" s="4" t="s">
        <v>140</v>
      </c>
      <c r="C29" s="4">
        <v>105</v>
      </c>
      <c r="D29" s="4">
        <v>3</v>
      </c>
      <c r="E29" s="5">
        <v>1</v>
      </c>
      <c r="F29" s="7" t="s">
        <v>130</v>
      </c>
      <c r="G29" s="4">
        <v>3500</v>
      </c>
      <c r="H29" s="4">
        <v>1000</v>
      </c>
      <c r="I29" s="4" t="s">
        <v>121</v>
      </c>
      <c r="J29" s="4">
        <v>0</v>
      </c>
      <c r="K29" s="4">
        <v>0</v>
      </c>
      <c r="L29" s="4">
        <v>0</v>
      </c>
      <c r="M29" s="4">
        <v>0</v>
      </c>
      <c r="N29" s="4">
        <v>3</v>
      </c>
      <c r="P29" s="4">
        <v>0</v>
      </c>
      <c r="Q29" s="4">
        <v>0</v>
      </c>
      <c r="T29" s="4">
        <v>1</v>
      </c>
      <c r="U29" s="4">
        <v>1</v>
      </c>
      <c r="X29" s="4" t="s">
        <v>138</v>
      </c>
    </row>
    <row r="30" spans="1:24">
      <c r="A30" s="4">
        <f t="shared" si="0"/>
        <v>105004</v>
      </c>
      <c r="B30" s="4" t="s">
        <v>141</v>
      </c>
      <c r="C30" s="4">
        <v>105</v>
      </c>
      <c r="D30" s="4">
        <v>4</v>
      </c>
      <c r="E30" s="5">
        <v>1</v>
      </c>
      <c r="F30" s="7" t="s">
        <v>130</v>
      </c>
      <c r="G30" s="4">
        <v>4000</v>
      </c>
      <c r="H30" s="4">
        <v>1000</v>
      </c>
      <c r="I30" s="4" t="s">
        <v>121</v>
      </c>
      <c r="J30" s="4">
        <v>0</v>
      </c>
      <c r="K30" s="4">
        <v>0</v>
      </c>
      <c r="L30" s="4">
        <v>0</v>
      </c>
      <c r="M30" s="4">
        <v>0</v>
      </c>
      <c r="N30" s="4">
        <v>4</v>
      </c>
      <c r="P30" s="4">
        <v>0</v>
      </c>
      <c r="Q30" s="4">
        <v>0</v>
      </c>
      <c r="T30" s="4">
        <v>1</v>
      </c>
      <c r="U30" s="4">
        <v>1</v>
      </c>
      <c r="X30" s="4" t="s">
        <v>138</v>
      </c>
    </row>
    <row r="31" spans="1:24">
      <c r="A31" s="4">
        <f t="shared" si="0"/>
        <v>105005</v>
      </c>
      <c r="B31" s="4" t="s">
        <v>142</v>
      </c>
      <c r="C31" s="4">
        <v>105</v>
      </c>
      <c r="D31" s="4">
        <v>5</v>
      </c>
      <c r="E31" s="5">
        <v>1</v>
      </c>
      <c r="F31" s="7" t="s">
        <v>130</v>
      </c>
      <c r="G31" s="4">
        <v>5000</v>
      </c>
      <c r="H31" s="4">
        <v>1000</v>
      </c>
      <c r="I31" s="4" t="s">
        <v>121</v>
      </c>
      <c r="J31" s="4">
        <v>0</v>
      </c>
      <c r="K31" s="4">
        <v>0</v>
      </c>
      <c r="L31" s="4">
        <v>0</v>
      </c>
      <c r="M31" s="4">
        <v>0</v>
      </c>
      <c r="N31" s="4">
        <v>5</v>
      </c>
      <c r="P31" s="4">
        <v>0</v>
      </c>
      <c r="Q31" s="4">
        <v>0</v>
      </c>
      <c r="T31" s="4">
        <v>1</v>
      </c>
      <c r="U31" s="4">
        <v>1</v>
      </c>
      <c r="X31" s="4" t="s">
        <v>138</v>
      </c>
    </row>
    <row r="32" spans="1:24">
      <c r="A32" s="4">
        <f t="shared" si="0"/>
        <v>105006</v>
      </c>
      <c r="B32" s="4" t="s">
        <v>143</v>
      </c>
      <c r="C32" s="4">
        <v>105</v>
      </c>
      <c r="D32" s="4">
        <v>6</v>
      </c>
      <c r="E32" s="5">
        <v>1</v>
      </c>
      <c r="F32" s="7" t="s">
        <v>130</v>
      </c>
      <c r="G32" s="4">
        <v>15000</v>
      </c>
      <c r="H32" s="4">
        <v>1000</v>
      </c>
      <c r="I32" s="4" t="s">
        <v>121</v>
      </c>
      <c r="J32" s="4">
        <v>0</v>
      </c>
      <c r="K32" s="4">
        <v>0</v>
      </c>
      <c r="L32" s="4">
        <v>0</v>
      </c>
      <c r="M32" s="4">
        <v>0</v>
      </c>
      <c r="N32" s="4">
        <v>2</v>
      </c>
      <c r="P32" s="4">
        <v>0</v>
      </c>
      <c r="Q32" s="4">
        <v>0</v>
      </c>
      <c r="T32" s="4">
        <v>1</v>
      </c>
      <c r="U32" s="4">
        <v>1</v>
      </c>
      <c r="X32" s="4" t="s">
        <v>144</v>
      </c>
    </row>
    <row r="33" spans="1:24">
      <c r="A33" s="4">
        <v>201001</v>
      </c>
      <c r="B33" s="4" t="s">
        <v>145</v>
      </c>
      <c r="C33" s="4">
        <v>201</v>
      </c>
      <c r="D33" s="4">
        <v>1</v>
      </c>
      <c r="E33" s="8">
        <v>2</v>
      </c>
      <c r="F33" s="6" t="s">
        <v>109</v>
      </c>
      <c r="G33" s="4">
        <v>2000</v>
      </c>
      <c r="H33" s="4">
        <v>1000</v>
      </c>
      <c r="I33" s="4" t="s">
        <v>121</v>
      </c>
      <c r="K33" s="4">
        <v>0</v>
      </c>
      <c r="M33" s="4">
        <v>500</v>
      </c>
      <c r="N33" s="4">
        <v>1</v>
      </c>
      <c r="P33" s="4">
        <v>0</v>
      </c>
      <c r="Q33" s="4">
        <v>0</v>
      </c>
      <c r="X33" s="4" t="s">
        <v>146</v>
      </c>
    </row>
    <row r="34" spans="1:24">
      <c r="A34" s="4">
        <v>201002</v>
      </c>
      <c r="B34" s="4" t="s">
        <v>147</v>
      </c>
      <c r="C34" s="4">
        <v>201</v>
      </c>
      <c r="D34" s="4">
        <v>2</v>
      </c>
      <c r="E34" s="8">
        <v>2</v>
      </c>
      <c r="F34" s="6" t="s">
        <v>109</v>
      </c>
      <c r="G34" s="4">
        <v>3000</v>
      </c>
      <c r="H34" s="4">
        <v>1000</v>
      </c>
      <c r="I34" s="4" t="s">
        <v>121</v>
      </c>
      <c r="K34" s="4">
        <v>0</v>
      </c>
      <c r="M34" s="4">
        <v>500</v>
      </c>
      <c r="N34" s="4">
        <v>2</v>
      </c>
      <c r="P34" s="4">
        <v>0</v>
      </c>
      <c r="Q34" s="4">
        <v>0</v>
      </c>
      <c r="X34" s="4" t="s">
        <v>146</v>
      </c>
    </row>
    <row r="35" spans="1:24">
      <c r="A35" s="4">
        <v>201003</v>
      </c>
      <c r="B35" s="4" t="s">
        <v>148</v>
      </c>
      <c r="C35" s="4">
        <v>201</v>
      </c>
      <c r="D35" s="4">
        <v>3</v>
      </c>
      <c r="E35" s="8">
        <v>2</v>
      </c>
      <c r="F35" s="6" t="s">
        <v>109</v>
      </c>
      <c r="G35" s="4">
        <v>4000</v>
      </c>
      <c r="H35" s="4">
        <v>1000</v>
      </c>
      <c r="I35" s="4" t="s">
        <v>121</v>
      </c>
      <c r="K35" s="4">
        <v>0</v>
      </c>
      <c r="M35" s="4">
        <v>500</v>
      </c>
      <c r="N35" s="4">
        <v>3</v>
      </c>
      <c r="P35" s="4">
        <v>0</v>
      </c>
      <c r="Q35" s="4">
        <v>0</v>
      </c>
      <c r="X35" s="4" t="s">
        <v>146</v>
      </c>
    </row>
    <row r="36" spans="1:24">
      <c r="A36" s="4">
        <v>201004</v>
      </c>
      <c r="B36" s="4" t="s">
        <v>149</v>
      </c>
      <c r="C36" s="4">
        <v>201</v>
      </c>
      <c r="D36" s="4">
        <v>4</v>
      </c>
      <c r="E36" s="8">
        <v>2</v>
      </c>
      <c r="F36" s="6" t="s">
        <v>109</v>
      </c>
      <c r="G36" s="4">
        <v>5000</v>
      </c>
      <c r="H36" s="4">
        <v>1000</v>
      </c>
      <c r="I36" s="4" t="s">
        <v>121</v>
      </c>
      <c r="K36" s="4">
        <v>0</v>
      </c>
      <c r="M36" s="4">
        <v>500</v>
      </c>
      <c r="N36" s="4">
        <v>4</v>
      </c>
      <c r="P36" s="4">
        <v>0</v>
      </c>
      <c r="Q36" s="4">
        <v>0</v>
      </c>
      <c r="X36" s="4" t="s">
        <v>146</v>
      </c>
    </row>
    <row r="37" spans="1:24">
      <c r="A37" s="4">
        <v>201005</v>
      </c>
      <c r="B37" s="4" t="s">
        <v>150</v>
      </c>
      <c r="C37" s="4">
        <v>201</v>
      </c>
      <c r="D37" s="4">
        <v>5</v>
      </c>
      <c r="E37" s="8">
        <v>2</v>
      </c>
      <c r="F37" s="6" t="s">
        <v>109</v>
      </c>
      <c r="G37" s="4">
        <v>6000</v>
      </c>
      <c r="H37" s="4">
        <v>1000</v>
      </c>
      <c r="I37" s="4" t="s">
        <v>121</v>
      </c>
      <c r="K37" s="4">
        <v>0</v>
      </c>
      <c r="M37" s="4">
        <v>500</v>
      </c>
      <c r="N37" s="4">
        <v>5</v>
      </c>
      <c r="P37" s="4">
        <v>0</v>
      </c>
      <c r="Q37" s="4">
        <v>0</v>
      </c>
      <c r="X37" s="4" t="s">
        <v>146</v>
      </c>
    </row>
    <row r="38" spans="1:24">
      <c r="A38" s="4">
        <v>201006</v>
      </c>
      <c r="B38" s="4" t="s">
        <v>151</v>
      </c>
      <c r="C38" s="4">
        <v>201</v>
      </c>
      <c r="D38" s="4">
        <v>6</v>
      </c>
      <c r="E38" s="8">
        <v>2</v>
      </c>
      <c r="F38" s="6" t="s">
        <v>109</v>
      </c>
      <c r="G38" s="4">
        <v>6000</v>
      </c>
      <c r="H38" s="4">
        <v>1000</v>
      </c>
      <c r="I38" s="4" t="s">
        <v>121</v>
      </c>
      <c r="K38" s="4">
        <v>0</v>
      </c>
      <c r="M38" s="4">
        <v>500</v>
      </c>
      <c r="N38" s="4">
        <v>8</v>
      </c>
      <c r="P38" s="4">
        <v>0</v>
      </c>
      <c r="Q38" s="4">
        <v>0</v>
      </c>
      <c r="X38" s="4" t="s">
        <v>152</v>
      </c>
    </row>
    <row r="39" spans="1:24">
      <c r="A39" s="4">
        <f t="shared" si="0"/>
        <v>202001</v>
      </c>
      <c r="B39" s="4" t="s">
        <v>153</v>
      </c>
      <c r="C39" s="4">
        <v>202</v>
      </c>
      <c r="D39" s="4">
        <v>1</v>
      </c>
      <c r="E39" s="8">
        <v>2</v>
      </c>
      <c r="F39" s="6" t="s">
        <v>109</v>
      </c>
      <c r="G39" s="4">
        <v>600</v>
      </c>
      <c r="H39" s="4">
        <v>1000</v>
      </c>
      <c r="I39" s="4" t="s">
        <v>113</v>
      </c>
      <c r="K39" s="4">
        <v>0</v>
      </c>
      <c r="N39" s="4">
        <v>2</v>
      </c>
      <c r="P39" s="4">
        <v>0</v>
      </c>
      <c r="Q39" s="4">
        <v>0</v>
      </c>
      <c r="X39" s="4" t="s">
        <v>146</v>
      </c>
    </row>
    <row r="40" spans="1:24">
      <c r="A40" s="4">
        <f t="shared" si="0"/>
        <v>202002</v>
      </c>
      <c r="B40" s="4" t="s">
        <v>154</v>
      </c>
      <c r="C40" s="4">
        <v>202</v>
      </c>
      <c r="D40" s="4">
        <v>2</v>
      </c>
      <c r="E40" s="8">
        <v>2</v>
      </c>
      <c r="F40" s="6" t="s">
        <v>109</v>
      </c>
      <c r="G40" s="4">
        <v>800</v>
      </c>
      <c r="H40" s="4">
        <v>1000</v>
      </c>
      <c r="I40" s="4" t="s">
        <v>113</v>
      </c>
      <c r="K40" s="4">
        <v>0</v>
      </c>
      <c r="N40" s="4">
        <v>3</v>
      </c>
      <c r="P40" s="4">
        <v>0</v>
      </c>
      <c r="Q40" s="4">
        <v>0</v>
      </c>
      <c r="X40" s="4" t="s">
        <v>146</v>
      </c>
    </row>
    <row r="41" spans="1:24">
      <c r="A41" s="4">
        <f t="shared" si="0"/>
        <v>202003</v>
      </c>
      <c r="B41" s="4" t="s">
        <v>155</v>
      </c>
      <c r="C41" s="4">
        <v>202</v>
      </c>
      <c r="D41" s="4">
        <v>3</v>
      </c>
      <c r="E41" s="8">
        <v>2</v>
      </c>
      <c r="F41" s="6" t="s">
        <v>109</v>
      </c>
      <c r="G41" s="4">
        <v>900</v>
      </c>
      <c r="H41" s="4">
        <v>1000</v>
      </c>
      <c r="I41" s="4" t="s">
        <v>113</v>
      </c>
      <c r="K41" s="4">
        <v>0</v>
      </c>
      <c r="N41" s="4">
        <v>4</v>
      </c>
      <c r="P41" s="4">
        <v>0</v>
      </c>
      <c r="Q41" s="4">
        <v>0</v>
      </c>
      <c r="X41" s="4" t="s">
        <v>146</v>
      </c>
    </row>
    <row r="42" spans="1:24">
      <c r="A42" s="4">
        <f t="shared" si="0"/>
        <v>202004</v>
      </c>
      <c r="B42" s="4" t="s">
        <v>156</v>
      </c>
      <c r="C42" s="4">
        <v>202</v>
      </c>
      <c r="D42" s="4">
        <v>4</v>
      </c>
      <c r="E42" s="8">
        <v>2</v>
      </c>
      <c r="F42" s="6" t="s">
        <v>109</v>
      </c>
      <c r="G42" s="4">
        <v>1000</v>
      </c>
      <c r="H42" s="4">
        <v>1000</v>
      </c>
      <c r="I42" s="4" t="s">
        <v>113</v>
      </c>
      <c r="K42" s="4">
        <v>0</v>
      </c>
      <c r="N42" s="4">
        <v>5</v>
      </c>
      <c r="P42" s="4">
        <v>0</v>
      </c>
      <c r="Q42" s="4">
        <v>0</v>
      </c>
      <c r="X42" s="4" t="s">
        <v>146</v>
      </c>
    </row>
    <row r="43" spans="1:24">
      <c r="A43" s="4">
        <f t="shared" si="0"/>
        <v>202005</v>
      </c>
      <c r="B43" s="4" t="s">
        <v>157</v>
      </c>
      <c r="C43" s="4">
        <v>202</v>
      </c>
      <c r="D43" s="4">
        <v>5</v>
      </c>
      <c r="E43" s="8">
        <v>2</v>
      </c>
      <c r="F43" s="6" t="s">
        <v>109</v>
      </c>
      <c r="G43" s="4">
        <v>1200</v>
      </c>
      <c r="H43" s="4">
        <v>1000</v>
      </c>
      <c r="I43" s="4" t="s">
        <v>113</v>
      </c>
      <c r="K43" s="4">
        <v>0</v>
      </c>
      <c r="N43" s="4">
        <v>6</v>
      </c>
      <c r="P43" s="4">
        <v>0</v>
      </c>
      <c r="Q43" s="4">
        <v>0</v>
      </c>
      <c r="X43" s="4" t="s">
        <v>146</v>
      </c>
    </row>
    <row r="44" spans="1:24">
      <c r="A44" s="4">
        <f t="shared" si="0"/>
        <v>202006</v>
      </c>
      <c r="B44" s="4" t="s">
        <v>158</v>
      </c>
      <c r="C44" s="4">
        <v>202</v>
      </c>
      <c r="D44" s="4">
        <v>6</v>
      </c>
      <c r="E44" s="8">
        <v>2</v>
      </c>
      <c r="F44" s="6" t="s">
        <v>109</v>
      </c>
      <c r="G44" s="4">
        <v>1200</v>
      </c>
      <c r="H44" s="4">
        <v>1000</v>
      </c>
      <c r="I44" s="4" t="s">
        <v>113</v>
      </c>
      <c r="K44" s="4">
        <v>0</v>
      </c>
      <c r="N44" s="4">
        <v>6</v>
      </c>
      <c r="P44" s="4">
        <v>0</v>
      </c>
      <c r="Q44" s="4">
        <v>0</v>
      </c>
      <c r="X44" s="4" t="s">
        <v>146</v>
      </c>
    </row>
    <row r="45" spans="1:17">
      <c r="A45" s="4">
        <f t="shared" si="0"/>
        <v>203001</v>
      </c>
      <c r="B45" s="4" t="s">
        <v>159</v>
      </c>
      <c r="C45" s="4">
        <v>203</v>
      </c>
      <c r="D45" s="4">
        <v>1</v>
      </c>
      <c r="E45" s="8">
        <v>2</v>
      </c>
      <c r="F45" s="6" t="s">
        <v>109</v>
      </c>
      <c r="G45" s="4">
        <v>2400</v>
      </c>
      <c r="H45" s="4">
        <v>1000</v>
      </c>
      <c r="I45" s="4" t="s">
        <v>113</v>
      </c>
      <c r="J45" s="4">
        <v>360</v>
      </c>
      <c r="K45" s="4">
        <v>0</v>
      </c>
      <c r="M45" s="4">
        <v>500</v>
      </c>
      <c r="N45" s="4">
        <v>1</v>
      </c>
      <c r="O45" s="4">
        <v>1</v>
      </c>
      <c r="P45" s="4">
        <v>0</v>
      </c>
      <c r="Q45" s="4">
        <v>0</v>
      </c>
    </row>
    <row r="46" spans="1:17">
      <c r="A46" s="4">
        <f t="shared" si="0"/>
        <v>203002</v>
      </c>
      <c r="B46" s="4" t="s">
        <v>160</v>
      </c>
      <c r="C46" s="4">
        <v>203</v>
      </c>
      <c r="D46" s="4">
        <v>2</v>
      </c>
      <c r="E46" s="8">
        <v>2</v>
      </c>
      <c r="F46" s="6" t="s">
        <v>109</v>
      </c>
      <c r="G46" s="4">
        <v>2400</v>
      </c>
      <c r="H46" s="4">
        <v>1000</v>
      </c>
      <c r="I46" s="4" t="s">
        <v>113</v>
      </c>
      <c r="J46" s="4">
        <v>360</v>
      </c>
      <c r="K46" s="4">
        <v>0</v>
      </c>
      <c r="M46" s="4">
        <v>500</v>
      </c>
      <c r="N46" s="4">
        <v>2</v>
      </c>
      <c r="O46" s="4">
        <v>1</v>
      </c>
      <c r="P46" s="4">
        <v>0</v>
      </c>
      <c r="Q46" s="4">
        <v>0</v>
      </c>
    </row>
    <row r="47" spans="1:17">
      <c r="A47" s="4">
        <f t="shared" si="0"/>
        <v>203003</v>
      </c>
      <c r="B47" s="4" t="s">
        <v>161</v>
      </c>
      <c r="C47" s="4">
        <v>203</v>
      </c>
      <c r="D47" s="4">
        <v>3</v>
      </c>
      <c r="E47" s="8">
        <v>2</v>
      </c>
      <c r="F47" s="6" t="s">
        <v>109</v>
      </c>
      <c r="G47" s="4">
        <v>4800</v>
      </c>
      <c r="H47" s="4">
        <v>1000</v>
      </c>
      <c r="I47" s="4" t="s">
        <v>113</v>
      </c>
      <c r="J47" s="4">
        <v>360</v>
      </c>
      <c r="K47" s="4">
        <v>0</v>
      </c>
      <c r="M47" s="4">
        <v>500</v>
      </c>
      <c r="N47" s="4">
        <v>2</v>
      </c>
      <c r="O47" s="4">
        <v>1</v>
      </c>
      <c r="P47" s="4">
        <v>0</v>
      </c>
      <c r="Q47" s="4">
        <v>0</v>
      </c>
    </row>
    <row r="48" spans="1:17">
      <c r="A48" s="4">
        <f t="shared" si="0"/>
        <v>203004</v>
      </c>
      <c r="B48" s="4" t="s">
        <v>162</v>
      </c>
      <c r="C48" s="4">
        <v>203</v>
      </c>
      <c r="D48" s="4">
        <v>4</v>
      </c>
      <c r="E48" s="8">
        <v>2</v>
      </c>
      <c r="F48" s="6" t="s">
        <v>109</v>
      </c>
      <c r="G48" s="4">
        <v>4800</v>
      </c>
      <c r="H48" s="4">
        <v>1000</v>
      </c>
      <c r="I48" s="4" t="s">
        <v>113</v>
      </c>
      <c r="J48" s="4">
        <v>360</v>
      </c>
      <c r="K48" s="4">
        <v>0</v>
      </c>
      <c r="M48" s="4">
        <v>500</v>
      </c>
      <c r="N48" s="4">
        <v>2</v>
      </c>
      <c r="O48" s="4">
        <v>2</v>
      </c>
      <c r="P48" s="4">
        <v>0</v>
      </c>
      <c r="Q48" s="4">
        <v>0</v>
      </c>
    </row>
    <row r="49" spans="1:17">
      <c r="A49" s="4">
        <f t="shared" si="0"/>
        <v>203005</v>
      </c>
      <c r="B49" s="4" t="s">
        <v>163</v>
      </c>
      <c r="C49" s="4">
        <v>203</v>
      </c>
      <c r="D49" s="4">
        <v>5</v>
      </c>
      <c r="E49" s="8">
        <v>2</v>
      </c>
      <c r="F49" s="6" t="s">
        <v>109</v>
      </c>
      <c r="G49" s="4">
        <v>6000</v>
      </c>
      <c r="H49" s="4">
        <v>1000</v>
      </c>
      <c r="I49" s="4" t="s">
        <v>113</v>
      </c>
      <c r="J49" s="4">
        <v>360</v>
      </c>
      <c r="K49" s="4">
        <v>0</v>
      </c>
      <c r="M49" s="4">
        <v>500</v>
      </c>
      <c r="N49" s="4">
        <v>2</v>
      </c>
      <c r="O49" s="4">
        <v>3</v>
      </c>
      <c r="P49" s="4">
        <v>0</v>
      </c>
      <c r="Q49" s="4">
        <v>0</v>
      </c>
    </row>
    <row r="50" spans="1:24">
      <c r="A50" s="4">
        <f t="shared" si="0"/>
        <v>203006</v>
      </c>
      <c r="B50" s="4" t="s">
        <v>164</v>
      </c>
      <c r="C50" s="4">
        <v>203</v>
      </c>
      <c r="D50" s="4">
        <v>6</v>
      </c>
      <c r="E50" s="8">
        <v>2</v>
      </c>
      <c r="F50" s="6" t="s">
        <v>109</v>
      </c>
      <c r="G50" s="4">
        <v>6000</v>
      </c>
      <c r="H50" s="4">
        <v>1000</v>
      </c>
      <c r="I50" s="4" t="s">
        <v>113</v>
      </c>
      <c r="J50" s="4">
        <v>360</v>
      </c>
      <c r="K50" s="4">
        <v>0</v>
      </c>
      <c r="M50" s="4">
        <v>500</v>
      </c>
      <c r="N50" s="4">
        <v>2</v>
      </c>
      <c r="O50" s="4">
        <v>3</v>
      </c>
      <c r="P50" s="4">
        <v>0</v>
      </c>
      <c r="Q50" s="4">
        <v>0</v>
      </c>
      <c r="X50" s="4" t="s">
        <v>165</v>
      </c>
    </row>
    <row r="51" spans="1:22">
      <c r="A51" s="4">
        <f t="shared" si="0"/>
        <v>204001</v>
      </c>
      <c r="B51" s="4" t="s">
        <v>166</v>
      </c>
      <c r="C51" s="4">
        <v>204</v>
      </c>
      <c r="D51" s="4">
        <v>1</v>
      </c>
      <c r="E51" s="8">
        <v>2</v>
      </c>
      <c r="F51" s="6" t="s">
        <v>109</v>
      </c>
      <c r="G51" s="4">
        <v>2000</v>
      </c>
      <c r="H51" s="4">
        <v>1000</v>
      </c>
      <c r="I51" s="4" t="s">
        <v>113</v>
      </c>
      <c r="J51" s="4">
        <v>360</v>
      </c>
      <c r="K51" s="4">
        <v>0</v>
      </c>
      <c r="M51" s="4">
        <v>500</v>
      </c>
      <c r="N51" s="4">
        <v>1</v>
      </c>
      <c r="O51" s="4">
        <v>1</v>
      </c>
      <c r="P51" s="4">
        <v>0</v>
      </c>
      <c r="Q51" s="4">
        <v>0</v>
      </c>
      <c r="V51" s="4">
        <v>200</v>
      </c>
    </row>
    <row r="52" spans="1:22">
      <c r="A52" s="4">
        <f t="shared" si="0"/>
        <v>204002</v>
      </c>
      <c r="B52" s="4" t="s">
        <v>167</v>
      </c>
      <c r="C52" s="4">
        <v>204</v>
      </c>
      <c r="D52" s="4">
        <v>2</v>
      </c>
      <c r="E52" s="8">
        <v>2</v>
      </c>
      <c r="F52" s="6" t="s">
        <v>109</v>
      </c>
      <c r="G52" s="4">
        <v>4000</v>
      </c>
      <c r="H52" s="4">
        <v>1000</v>
      </c>
      <c r="I52" s="4" t="s">
        <v>113</v>
      </c>
      <c r="J52" s="4">
        <v>360</v>
      </c>
      <c r="K52" s="4">
        <v>0</v>
      </c>
      <c r="M52" s="4">
        <v>500</v>
      </c>
      <c r="N52" s="4">
        <v>1</v>
      </c>
      <c r="O52" s="4">
        <v>1</v>
      </c>
      <c r="P52" s="4">
        <v>0</v>
      </c>
      <c r="Q52" s="4">
        <v>0</v>
      </c>
      <c r="V52" s="4">
        <v>200</v>
      </c>
    </row>
    <row r="53" spans="1:22">
      <c r="A53" s="4">
        <f t="shared" si="0"/>
        <v>204003</v>
      </c>
      <c r="B53" s="4" t="s">
        <v>168</v>
      </c>
      <c r="C53" s="4">
        <v>204</v>
      </c>
      <c r="D53" s="4">
        <v>3</v>
      </c>
      <c r="E53" s="8">
        <v>2</v>
      </c>
      <c r="F53" s="6" t="s">
        <v>109</v>
      </c>
      <c r="G53" s="4">
        <v>4000</v>
      </c>
      <c r="H53" s="4">
        <v>1000</v>
      </c>
      <c r="I53" s="4" t="s">
        <v>113</v>
      </c>
      <c r="J53" s="4">
        <v>360</v>
      </c>
      <c r="K53" s="4">
        <v>0</v>
      </c>
      <c r="M53" s="4">
        <v>500</v>
      </c>
      <c r="N53" s="4">
        <v>2</v>
      </c>
      <c r="O53" s="4">
        <v>1</v>
      </c>
      <c r="P53" s="4">
        <v>0</v>
      </c>
      <c r="Q53" s="4">
        <v>0</v>
      </c>
      <c r="V53" s="4">
        <v>200</v>
      </c>
    </row>
    <row r="54" spans="1:22">
      <c r="A54" s="4">
        <f t="shared" si="0"/>
        <v>204004</v>
      </c>
      <c r="B54" s="4" t="s">
        <v>169</v>
      </c>
      <c r="C54" s="4">
        <v>204</v>
      </c>
      <c r="D54" s="4">
        <v>4</v>
      </c>
      <c r="E54" s="8">
        <v>2</v>
      </c>
      <c r="F54" s="6" t="s">
        <v>109</v>
      </c>
      <c r="G54" s="4">
        <v>6000</v>
      </c>
      <c r="H54" s="4">
        <v>1000</v>
      </c>
      <c r="I54" s="4" t="s">
        <v>113</v>
      </c>
      <c r="J54" s="4">
        <v>360</v>
      </c>
      <c r="K54" s="4">
        <v>0</v>
      </c>
      <c r="M54" s="4">
        <v>500</v>
      </c>
      <c r="N54" s="4">
        <v>2</v>
      </c>
      <c r="O54" s="4">
        <v>2</v>
      </c>
      <c r="P54" s="4">
        <v>0</v>
      </c>
      <c r="Q54" s="4">
        <v>0</v>
      </c>
      <c r="V54" s="4">
        <v>200</v>
      </c>
    </row>
    <row r="55" spans="1:22">
      <c r="A55" s="4">
        <f t="shared" si="0"/>
        <v>204005</v>
      </c>
      <c r="B55" s="4" t="s">
        <v>170</v>
      </c>
      <c r="C55" s="4">
        <v>204</v>
      </c>
      <c r="D55" s="4">
        <v>5</v>
      </c>
      <c r="E55" s="8">
        <v>2</v>
      </c>
      <c r="F55" s="6" t="s">
        <v>109</v>
      </c>
      <c r="G55" s="4">
        <v>6000</v>
      </c>
      <c r="H55" s="4">
        <v>1000</v>
      </c>
      <c r="I55" s="4" t="s">
        <v>113</v>
      </c>
      <c r="J55" s="4">
        <v>360</v>
      </c>
      <c r="K55" s="4">
        <v>0</v>
      </c>
      <c r="M55" s="4">
        <v>500</v>
      </c>
      <c r="N55" s="4">
        <v>3</v>
      </c>
      <c r="O55" s="4">
        <v>3</v>
      </c>
      <c r="P55" s="4">
        <v>0</v>
      </c>
      <c r="Q55" s="4">
        <v>0</v>
      </c>
      <c r="V55" s="4">
        <v>200</v>
      </c>
    </row>
    <row r="56" spans="1:24">
      <c r="A56" s="4">
        <f t="shared" si="0"/>
        <v>204006</v>
      </c>
      <c r="B56" s="4" t="s">
        <v>171</v>
      </c>
      <c r="C56" s="4">
        <v>204</v>
      </c>
      <c r="D56" s="4">
        <v>6</v>
      </c>
      <c r="E56" s="8">
        <v>2</v>
      </c>
      <c r="F56" s="6" t="s">
        <v>109</v>
      </c>
      <c r="G56" s="4">
        <v>20000</v>
      </c>
      <c r="H56" s="4">
        <v>1000</v>
      </c>
      <c r="I56" s="4" t="s">
        <v>113</v>
      </c>
      <c r="J56" s="4">
        <v>360</v>
      </c>
      <c r="K56" s="4">
        <v>0</v>
      </c>
      <c r="M56" s="4">
        <v>500</v>
      </c>
      <c r="N56" s="4">
        <v>1</v>
      </c>
      <c r="O56" s="4">
        <v>3</v>
      </c>
      <c r="P56" s="4">
        <v>0</v>
      </c>
      <c r="Q56" s="4">
        <v>0</v>
      </c>
      <c r="V56" s="4">
        <v>200</v>
      </c>
      <c r="X56" s="4" t="s">
        <v>172</v>
      </c>
    </row>
    <row r="57" spans="1:24">
      <c r="A57" s="4">
        <f t="shared" si="0"/>
        <v>205001</v>
      </c>
      <c r="B57" s="4" t="s">
        <v>173</v>
      </c>
      <c r="C57" s="4">
        <v>205</v>
      </c>
      <c r="D57" s="4">
        <v>1</v>
      </c>
      <c r="E57" s="8">
        <v>2</v>
      </c>
      <c r="F57" s="6" t="s">
        <v>109</v>
      </c>
      <c r="G57" s="4">
        <v>500</v>
      </c>
      <c r="H57" s="4">
        <v>1000</v>
      </c>
      <c r="I57" s="4" t="s">
        <v>121</v>
      </c>
      <c r="K57" s="4">
        <v>0</v>
      </c>
      <c r="M57" s="4">
        <v>500</v>
      </c>
      <c r="N57" s="4">
        <v>2</v>
      </c>
      <c r="P57" s="4">
        <v>0</v>
      </c>
      <c r="Q57" s="4">
        <v>0</v>
      </c>
      <c r="T57" s="4">
        <v>50</v>
      </c>
      <c r="X57" s="4" t="s">
        <v>174</v>
      </c>
    </row>
    <row r="58" spans="1:24">
      <c r="A58" s="4">
        <f t="shared" si="0"/>
        <v>205002</v>
      </c>
      <c r="B58" s="4" t="s">
        <v>175</v>
      </c>
      <c r="C58" s="4">
        <v>205</v>
      </c>
      <c r="D58" s="4">
        <v>2</v>
      </c>
      <c r="E58" s="8">
        <v>2</v>
      </c>
      <c r="F58" s="6" t="s">
        <v>109</v>
      </c>
      <c r="G58" s="4">
        <v>600</v>
      </c>
      <c r="H58" s="4">
        <v>1000</v>
      </c>
      <c r="I58" s="4" t="s">
        <v>121</v>
      </c>
      <c r="K58" s="4">
        <v>0</v>
      </c>
      <c r="M58" s="4">
        <v>600</v>
      </c>
      <c r="N58" s="4">
        <v>3</v>
      </c>
      <c r="P58" s="4">
        <v>0</v>
      </c>
      <c r="Q58" s="4">
        <v>0</v>
      </c>
      <c r="T58" s="4">
        <v>50</v>
      </c>
      <c r="X58" s="4" t="s">
        <v>174</v>
      </c>
    </row>
    <row r="59" spans="1:24">
      <c r="A59" s="4">
        <f t="shared" si="0"/>
        <v>205003</v>
      </c>
      <c r="B59" s="4" t="s">
        <v>176</v>
      </c>
      <c r="C59" s="4">
        <v>205</v>
      </c>
      <c r="D59" s="4">
        <v>3</v>
      </c>
      <c r="E59" s="8">
        <v>2</v>
      </c>
      <c r="F59" s="6" t="s">
        <v>109</v>
      </c>
      <c r="G59" s="4">
        <v>700</v>
      </c>
      <c r="H59" s="4">
        <v>1000</v>
      </c>
      <c r="I59" s="4" t="s">
        <v>121</v>
      </c>
      <c r="K59" s="4">
        <v>0</v>
      </c>
      <c r="M59" s="4">
        <v>700</v>
      </c>
      <c r="N59" s="4">
        <v>4</v>
      </c>
      <c r="P59" s="4">
        <v>0</v>
      </c>
      <c r="Q59" s="4">
        <v>0</v>
      </c>
      <c r="T59" s="4">
        <v>50</v>
      </c>
      <c r="X59" s="4" t="s">
        <v>174</v>
      </c>
    </row>
    <row r="60" spans="1:24">
      <c r="A60" s="4">
        <f t="shared" si="0"/>
        <v>205004</v>
      </c>
      <c r="B60" s="4" t="s">
        <v>177</v>
      </c>
      <c r="C60" s="4">
        <v>205</v>
      </c>
      <c r="D60" s="4">
        <v>4</v>
      </c>
      <c r="E60" s="8">
        <v>2</v>
      </c>
      <c r="F60" s="6" t="s">
        <v>109</v>
      </c>
      <c r="G60" s="4">
        <v>800</v>
      </c>
      <c r="H60" s="4">
        <v>1000</v>
      </c>
      <c r="I60" s="4" t="s">
        <v>121</v>
      </c>
      <c r="K60" s="4">
        <v>0</v>
      </c>
      <c r="M60" s="4">
        <v>800</v>
      </c>
      <c r="N60" s="4">
        <v>5</v>
      </c>
      <c r="P60" s="4">
        <v>0</v>
      </c>
      <c r="Q60" s="4">
        <v>0</v>
      </c>
      <c r="T60" s="4">
        <v>50</v>
      </c>
      <c r="X60" s="4" t="s">
        <v>174</v>
      </c>
    </row>
    <row r="61" spans="1:24">
      <c r="A61" s="4">
        <f t="shared" si="0"/>
        <v>205005</v>
      </c>
      <c r="B61" s="4" t="s">
        <v>178</v>
      </c>
      <c r="C61" s="4">
        <v>205</v>
      </c>
      <c r="D61" s="4">
        <v>5</v>
      </c>
      <c r="E61" s="8">
        <v>2</v>
      </c>
      <c r="F61" s="6" t="s">
        <v>109</v>
      </c>
      <c r="G61" s="4">
        <v>900</v>
      </c>
      <c r="H61" s="4">
        <v>1000</v>
      </c>
      <c r="I61" s="4" t="s">
        <v>121</v>
      </c>
      <c r="K61" s="4">
        <v>0</v>
      </c>
      <c r="M61" s="4">
        <v>900</v>
      </c>
      <c r="N61" s="4">
        <v>6</v>
      </c>
      <c r="P61" s="4">
        <v>0</v>
      </c>
      <c r="Q61" s="4">
        <v>0</v>
      </c>
      <c r="T61" s="4">
        <v>50</v>
      </c>
      <c r="X61" s="4" t="s">
        <v>174</v>
      </c>
    </row>
    <row r="62" spans="1:24">
      <c r="A62" s="4">
        <f t="shared" si="0"/>
        <v>205006</v>
      </c>
      <c r="B62" s="4" t="s">
        <v>179</v>
      </c>
      <c r="C62" s="4">
        <v>205</v>
      </c>
      <c r="D62" s="4">
        <v>6</v>
      </c>
      <c r="E62" s="8">
        <v>2</v>
      </c>
      <c r="F62" s="6" t="s">
        <v>109</v>
      </c>
      <c r="G62" s="4">
        <v>900</v>
      </c>
      <c r="H62" s="4">
        <v>1000</v>
      </c>
      <c r="I62" s="4" t="s">
        <v>121</v>
      </c>
      <c r="K62" s="4">
        <v>0</v>
      </c>
      <c r="M62" s="4">
        <v>1000</v>
      </c>
      <c r="N62" s="4">
        <v>8</v>
      </c>
      <c r="P62" s="4">
        <v>0</v>
      </c>
      <c r="Q62" s="4">
        <v>0</v>
      </c>
      <c r="T62" s="4">
        <v>50</v>
      </c>
      <c r="X62" s="4" t="s">
        <v>180</v>
      </c>
    </row>
    <row r="63" spans="1:17">
      <c r="A63" s="4">
        <f t="shared" si="0"/>
        <v>206001</v>
      </c>
      <c r="B63" s="4" t="s">
        <v>181</v>
      </c>
      <c r="C63" s="4">
        <v>206</v>
      </c>
      <c r="D63" s="4">
        <v>1</v>
      </c>
      <c r="E63" s="8">
        <v>2</v>
      </c>
      <c r="F63" s="6" t="s">
        <v>109</v>
      </c>
      <c r="G63" s="4">
        <v>1000</v>
      </c>
      <c r="H63" s="4">
        <v>1000</v>
      </c>
      <c r="I63" s="4" t="s">
        <v>113</v>
      </c>
      <c r="J63" s="4">
        <v>360</v>
      </c>
      <c r="K63" s="4">
        <v>0</v>
      </c>
      <c r="M63" s="4">
        <v>500</v>
      </c>
      <c r="N63" s="4">
        <v>1</v>
      </c>
      <c r="P63" s="4">
        <v>0</v>
      </c>
      <c r="Q63" s="4">
        <v>0</v>
      </c>
    </row>
    <row r="64" spans="1:17">
      <c r="A64" s="4">
        <f t="shared" si="0"/>
        <v>206002</v>
      </c>
      <c r="B64" s="4" t="s">
        <v>182</v>
      </c>
      <c r="C64" s="4">
        <v>206</v>
      </c>
      <c r="D64" s="4">
        <v>2</v>
      </c>
      <c r="E64" s="8">
        <v>2</v>
      </c>
      <c r="F64" s="6" t="s">
        <v>109</v>
      </c>
      <c r="G64" s="4">
        <v>1000</v>
      </c>
      <c r="H64" s="4">
        <v>1000</v>
      </c>
      <c r="I64" s="4" t="s">
        <v>113</v>
      </c>
      <c r="J64" s="4">
        <v>360</v>
      </c>
      <c r="K64" s="4">
        <v>0</v>
      </c>
      <c r="M64" s="4">
        <v>500</v>
      </c>
      <c r="N64" s="4">
        <v>2</v>
      </c>
      <c r="P64" s="4">
        <v>0</v>
      </c>
      <c r="Q64" s="4">
        <v>0</v>
      </c>
    </row>
    <row r="65" spans="1:17">
      <c r="A65" s="4">
        <f t="shared" si="0"/>
        <v>206003</v>
      </c>
      <c r="B65" s="4" t="s">
        <v>183</v>
      </c>
      <c r="C65" s="4">
        <v>206</v>
      </c>
      <c r="D65" s="4">
        <v>3</v>
      </c>
      <c r="E65" s="8">
        <v>2</v>
      </c>
      <c r="F65" s="6" t="s">
        <v>109</v>
      </c>
      <c r="G65" s="4">
        <v>1000</v>
      </c>
      <c r="H65" s="4">
        <v>1000</v>
      </c>
      <c r="I65" s="4" t="s">
        <v>113</v>
      </c>
      <c r="J65" s="4">
        <v>360</v>
      </c>
      <c r="K65" s="4">
        <v>0</v>
      </c>
      <c r="M65" s="4">
        <v>1000</v>
      </c>
      <c r="N65" s="4">
        <v>2</v>
      </c>
      <c r="P65" s="4">
        <v>0</v>
      </c>
      <c r="Q65" s="4">
        <v>0</v>
      </c>
    </row>
    <row r="66" spans="1:17">
      <c r="A66" s="4">
        <f t="shared" si="0"/>
        <v>206004</v>
      </c>
      <c r="B66" s="4" t="s">
        <v>184</v>
      </c>
      <c r="C66" s="4">
        <v>206</v>
      </c>
      <c r="D66" s="4">
        <v>4</v>
      </c>
      <c r="E66" s="8">
        <v>2</v>
      </c>
      <c r="F66" s="6" t="s">
        <v>109</v>
      </c>
      <c r="G66" s="4">
        <v>1300</v>
      </c>
      <c r="H66" s="4">
        <v>1000</v>
      </c>
      <c r="I66" s="4" t="s">
        <v>113</v>
      </c>
      <c r="J66" s="4">
        <v>360</v>
      </c>
      <c r="K66" s="4">
        <v>0</v>
      </c>
      <c r="M66" s="4">
        <v>1500</v>
      </c>
      <c r="N66" s="4">
        <v>2</v>
      </c>
      <c r="P66" s="4">
        <v>0</v>
      </c>
      <c r="Q66" s="4">
        <v>0</v>
      </c>
    </row>
    <row r="67" spans="1:17">
      <c r="A67" s="4">
        <f t="shared" si="0"/>
        <v>206005</v>
      </c>
      <c r="B67" s="4" t="s">
        <v>185</v>
      </c>
      <c r="C67" s="4">
        <v>206</v>
      </c>
      <c r="D67" s="4">
        <v>5</v>
      </c>
      <c r="E67" s="8">
        <v>2</v>
      </c>
      <c r="F67" s="6" t="s">
        <v>109</v>
      </c>
      <c r="G67" s="4">
        <v>1300</v>
      </c>
      <c r="H67" s="4">
        <v>1000</v>
      </c>
      <c r="I67" s="4" t="s">
        <v>113</v>
      </c>
      <c r="J67" s="4">
        <v>360</v>
      </c>
      <c r="K67" s="4">
        <v>0</v>
      </c>
      <c r="M67" s="4">
        <v>1500</v>
      </c>
      <c r="N67" s="4">
        <v>3</v>
      </c>
      <c r="P67" s="4">
        <v>0</v>
      </c>
      <c r="Q67" s="4">
        <v>0</v>
      </c>
    </row>
    <row r="68" spans="1:24">
      <c r="A68" s="4">
        <f t="shared" si="0"/>
        <v>206006</v>
      </c>
      <c r="B68" s="4" t="s">
        <v>186</v>
      </c>
      <c r="C68" s="4">
        <v>206</v>
      </c>
      <c r="D68" s="4">
        <v>6</v>
      </c>
      <c r="E68" s="8">
        <v>2</v>
      </c>
      <c r="F68" s="6" t="s">
        <v>109</v>
      </c>
      <c r="G68" s="4">
        <v>12600</v>
      </c>
      <c r="H68" s="4">
        <v>1000</v>
      </c>
      <c r="I68" s="4" t="s">
        <v>113</v>
      </c>
      <c r="J68" s="4">
        <v>360</v>
      </c>
      <c r="K68" s="4">
        <v>0</v>
      </c>
      <c r="M68" s="4">
        <v>1500</v>
      </c>
      <c r="N68" s="4">
        <v>1</v>
      </c>
      <c r="P68" s="4">
        <v>0</v>
      </c>
      <c r="Q68" s="4">
        <v>0</v>
      </c>
      <c r="X68" s="4" t="s">
        <v>187</v>
      </c>
    </row>
    <row r="69" spans="1:17">
      <c r="A69" s="4">
        <f t="shared" si="0"/>
        <v>207001</v>
      </c>
      <c r="B69" s="4" t="s">
        <v>188</v>
      </c>
      <c r="C69" s="4">
        <v>207</v>
      </c>
      <c r="D69" s="4">
        <v>1</v>
      </c>
      <c r="E69" s="8">
        <v>2</v>
      </c>
      <c r="F69" s="6" t="s">
        <v>109</v>
      </c>
      <c r="G69" s="4">
        <v>6000</v>
      </c>
      <c r="H69" s="4">
        <v>1000</v>
      </c>
      <c r="I69" s="4" t="s">
        <v>113</v>
      </c>
      <c r="K69" s="4">
        <v>0</v>
      </c>
      <c r="P69" s="4">
        <v>0</v>
      </c>
      <c r="Q69" s="4">
        <v>0</v>
      </c>
    </row>
    <row r="70" spans="1:17">
      <c r="A70" s="4">
        <f t="shared" si="0"/>
        <v>207002</v>
      </c>
      <c r="B70" s="4" t="s">
        <v>189</v>
      </c>
      <c r="C70" s="4">
        <v>207</v>
      </c>
      <c r="D70" s="4">
        <v>2</v>
      </c>
      <c r="E70" s="8">
        <v>2</v>
      </c>
      <c r="F70" s="6" t="s">
        <v>109</v>
      </c>
      <c r="G70" s="4">
        <v>6000</v>
      </c>
      <c r="H70" s="4">
        <v>1000</v>
      </c>
      <c r="I70" s="4" t="s">
        <v>113</v>
      </c>
      <c r="K70" s="4">
        <v>0</v>
      </c>
      <c r="P70" s="4">
        <v>0</v>
      </c>
      <c r="Q70" s="4">
        <v>0</v>
      </c>
    </row>
    <row r="71" spans="1:17">
      <c r="A71" s="4">
        <f t="shared" si="0"/>
        <v>207003</v>
      </c>
      <c r="B71" s="4" t="s">
        <v>190</v>
      </c>
      <c r="C71" s="4">
        <v>207</v>
      </c>
      <c r="D71" s="4">
        <v>3</v>
      </c>
      <c r="E71" s="8">
        <v>2</v>
      </c>
      <c r="F71" s="6" t="s">
        <v>109</v>
      </c>
      <c r="G71" s="4">
        <v>8000</v>
      </c>
      <c r="H71" s="4">
        <v>1000</v>
      </c>
      <c r="I71" s="4" t="s">
        <v>113</v>
      </c>
      <c r="K71" s="4">
        <v>0</v>
      </c>
      <c r="P71" s="4">
        <v>0</v>
      </c>
      <c r="Q71" s="4">
        <v>0</v>
      </c>
    </row>
    <row r="72" spans="1:17">
      <c r="A72" s="4">
        <f t="shared" si="0"/>
        <v>207004</v>
      </c>
      <c r="B72" s="4" t="s">
        <v>191</v>
      </c>
      <c r="C72" s="4">
        <v>207</v>
      </c>
      <c r="D72" s="4">
        <v>4</v>
      </c>
      <c r="E72" s="8">
        <v>2</v>
      </c>
      <c r="F72" s="6" t="s">
        <v>109</v>
      </c>
      <c r="G72" s="4">
        <v>10000</v>
      </c>
      <c r="H72" s="4">
        <v>1000</v>
      </c>
      <c r="I72" s="4" t="s">
        <v>113</v>
      </c>
      <c r="K72" s="4">
        <v>0</v>
      </c>
      <c r="P72" s="4">
        <v>0</v>
      </c>
      <c r="Q72" s="4">
        <v>0</v>
      </c>
    </row>
    <row r="73" spans="1:17">
      <c r="A73" s="4">
        <f t="shared" si="0"/>
        <v>207005</v>
      </c>
      <c r="B73" s="4" t="s">
        <v>192</v>
      </c>
      <c r="C73" s="4">
        <v>207</v>
      </c>
      <c r="D73" s="4">
        <v>5</v>
      </c>
      <c r="E73" s="8">
        <v>2</v>
      </c>
      <c r="F73" s="6" t="s">
        <v>109</v>
      </c>
      <c r="G73" s="4">
        <v>10000</v>
      </c>
      <c r="H73" s="4">
        <v>1000</v>
      </c>
      <c r="I73" s="4" t="s">
        <v>113</v>
      </c>
      <c r="K73" s="4">
        <v>0</v>
      </c>
      <c r="P73" s="4">
        <v>0</v>
      </c>
      <c r="Q73" s="4">
        <v>0</v>
      </c>
    </row>
    <row r="74" spans="1:17">
      <c r="A74" s="4">
        <f t="shared" ref="A74:A110" si="1">A68+1000</f>
        <v>207006</v>
      </c>
      <c r="B74" s="4" t="s">
        <v>193</v>
      </c>
      <c r="C74" s="4">
        <v>207</v>
      </c>
      <c r="D74" s="4">
        <v>6</v>
      </c>
      <c r="E74" s="8">
        <v>2</v>
      </c>
      <c r="F74" s="6" t="s">
        <v>109</v>
      </c>
      <c r="G74" s="4">
        <v>10000</v>
      </c>
      <c r="H74" s="4">
        <v>1000</v>
      </c>
      <c r="I74" s="4" t="s">
        <v>113</v>
      </c>
      <c r="K74" s="4">
        <v>0</v>
      </c>
      <c r="P74" s="4">
        <v>0</v>
      </c>
      <c r="Q74" s="4">
        <v>0</v>
      </c>
    </row>
    <row r="75" spans="1:24">
      <c r="A75" s="4">
        <f t="shared" si="1"/>
        <v>208001</v>
      </c>
      <c r="B75" s="4" t="s">
        <v>194</v>
      </c>
      <c r="C75" s="4">
        <v>208</v>
      </c>
      <c r="D75" s="4">
        <v>1</v>
      </c>
      <c r="E75" s="8">
        <v>2</v>
      </c>
      <c r="F75" s="5" t="s">
        <v>195</v>
      </c>
      <c r="G75" s="4">
        <v>1000</v>
      </c>
      <c r="H75" s="4">
        <v>1000</v>
      </c>
      <c r="I75" s="4" t="s">
        <v>121</v>
      </c>
      <c r="K75" s="4">
        <v>360</v>
      </c>
      <c r="P75" s="4">
        <v>0</v>
      </c>
      <c r="Q75" s="4">
        <v>0</v>
      </c>
      <c r="X75" s="4" t="s">
        <v>196</v>
      </c>
    </row>
    <row r="76" spans="1:24">
      <c r="A76" s="4">
        <f t="shared" si="1"/>
        <v>208002</v>
      </c>
      <c r="B76" s="4" t="s">
        <v>197</v>
      </c>
      <c r="C76" s="4">
        <v>208</v>
      </c>
      <c r="D76" s="4">
        <v>2</v>
      </c>
      <c r="E76" s="8">
        <v>2</v>
      </c>
      <c r="F76" s="5" t="s">
        <v>195</v>
      </c>
      <c r="G76" s="4">
        <v>1500</v>
      </c>
      <c r="H76" s="4">
        <v>1000</v>
      </c>
      <c r="I76" s="4" t="s">
        <v>121</v>
      </c>
      <c r="K76" s="4">
        <v>360</v>
      </c>
      <c r="P76" s="4">
        <v>0</v>
      </c>
      <c r="Q76" s="4">
        <v>0</v>
      </c>
      <c r="X76" s="4" t="s">
        <v>196</v>
      </c>
    </row>
    <row r="77" spans="1:24">
      <c r="A77" s="4">
        <f t="shared" si="1"/>
        <v>208003</v>
      </c>
      <c r="B77" s="4" t="s">
        <v>198</v>
      </c>
      <c r="C77" s="4">
        <v>208</v>
      </c>
      <c r="D77" s="4">
        <v>3</v>
      </c>
      <c r="E77" s="8">
        <v>2</v>
      </c>
      <c r="F77" s="5" t="s">
        <v>195</v>
      </c>
      <c r="G77" s="4">
        <v>2000</v>
      </c>
      <c r="H77" s="4">
        <v>1000</v>
      </c>
      <c r="I77" s="4" t="s">
        <v>121</v>
      </c>
      <c r="K77" s="4">
        <v>360</v>
      </c>
      <c r="P77" s="4">
        <v>0</v>
      </c>
      <c r="Q77" s="4">
        <v>0</v>
      </c>
      <c r="X77" s="4" t="s">
        <v>196</v>
      </c>
    </row>
    <row r="78" spans="1:24">
      <c r="A78" s="4">
        <f t="shared" si="1"/>
        <v>208004</v>
      </c>
      <c r="B78" s="4" t="s">
        <v>199</v>
      </c>
      <c r="C78" s="4">
        <v>208</v>
      </c>
      <c r="D78" s="4">
        <v>4</v>
      </c>
      <c r="E78" s="8">
        <v>2</v>
      </c>
      <c r="F78" s="5" t="s">
        <v>195</v>
      </c>
      <c r="G78" s="4">
        <v>2300</v>
      </c>
      <c r="H78" s="4">
        <v>1000</v>
      </c>
      <c r="I78" s="4" t="s">
        <v>121</v>
      </c>
      <c r="K78" s="4">
        <v>360</v>
      </c>
      <c r="P78" s="4">
        <v>0</v>
      </c>
      <c r="Q78" s="4">
        <v>0</v>
      </c>
      <c r="X78" s="4" t="s">
        <v>196</v>
      </c>
    </row>
    <row r="79" spans="1:24">
      <c r="A79" s="4">
        <f t="shared" si="1"/>
        <v>208005</v>
      </c>
      <c r="B79" s="4" t="s">
        <v>200</v>
      </c>
      <c r="C79" s="4">
        <v>208</v>
      </c>
      <c r="D79" s="4">
        <v>5</v>
      </c>
      <c r="E79" s="8">
        <v>2</v>
      </c>
      <c r="F79" s="5" t="s">
        <v>195</v>
      </c>
      <c r="G79" s="4">
        <v>2500</v>
      </c>
      <c r="H79" s="4">
        <v>1000</v>
      </c>
      <c r="I79" s="4" t="s">
        <v>121</v>
      </c>
      <c r="K79" s="4">
        <v>360</v>
      </c>
      <c r="P79" s="4">
        <v>0</v>
      </c>
      <c r="Q79" s="4">
        <v>0</v>
      </c>
      <c r="X79" s="4" t="s">
        <v>196</v>
      </c>
    </row>
    <row r="80" spans="1:24">
      <c r="A80" s="4">
        <f t="shared" si="1"/>
        <v>208006</v>
      </c>
      <c r="B80" s="4" t="s">
        <v>201</v>
      </c>
      <c r="C80" s="4">
        <v>208</v>
      </c>
      <c r="D80" s="4">
        <v>6</v>
      </c>
      <c r="E80" s="8">
        <v>2</v>
      </c>
      <c r="F80" s="5" t="s">
        <v>195</v>
      </c>
      <c r="G80" s="4">
        <v>2500</v>
      </c>
      <c r="H80" s="4">
        <v>1000</v>
      </c>
      <c r="I80" s="4" t="s">
        <v>121</v>
      </c>
      <c r="K80" s="4">
        <v>360</v>
      </c>
      <c r="P80" s="4">
        <v>0</v>
      </c>
      <c r="Q80" s="4">
        <v>0</v>
      </c>
      <c r="X80" s="4" t="s">
        <v>202</v>
      </c>
    </row>
    <row r="81" spans="1:17">
      <c r="A81" s="4">
        <f t="shared" si="1"/>
        <v>209001</v>
      </c>
      <c r="B81" s="4" t="s">
        <v>203</v>
      </c>
      <c r="C81" s="4">
        <v>209</v>
      </c>
      <c r="D81" s="4">
        <v>1</v>
      </c>
      <c r="E81" s="8">
        <v>2</v>
      </c>
      <c r="F81" s="6" t="s">
        <v>109</v>
      </c>
      <c r="G81" s="4">
        <v>1800</v>
      </c>
      <c r="H81" s="4">
        <v>1000</v>
      </c>
      <c r="I81" s="4" t="s">
        <v>113</v>
      </c>
      <c r="K81" s="4">
        <v>360</v>
      </c>
      <c r="P81" s="4">
        <v>0</v>
      </c>
      <c r="Q81" s="4">
        <v>0</v>
      </c>
    </row>
    <row r="82" spans="1:17">
      <c r="A82" s="4">
        <f t="shared" si="1"/>
        <v>209002</v>
      </c>
      <c r="B82" s="4" t="s">
        <v>204</v>
      </c>
      <c r="C82" s="4">
        <v>209</v>
      </c>
      <c r="D82" s="4">
        <v>2</v>
      </c>
      <c r="E82" s="8">
        <v>2</v>
      </c>
      <c r="F82" s="6" t="s">
        <v>109</v>
      </c>
      <c r="G82" s="4">
        <v>2300</v>
      </c>
      <c r="H82" s="4">
        <v>1000</v>
      </c>
      <c r="I82" s="4" t="s">
        <v>113</v>
      </c>
      <c r="K82" s="4">
        <v>360</v>
      </c>
      <c r="P82" s="4">
        <v>0</v>
      </c>
      <c r="Q82" s="4">
        <v>0</v>
      </c>
    </row>
    <row r="83" spans="1:17">
      <c r="A83" s="4">
        <f t="shared" si="1"/>
        <v>209003</v>
      </c>
      <c r="B83" s="4" t="s">
        <v>205</v>
      </c>
      <c r="C83" s="4">
        <v>209</v>
      </c>
      <c r="D83" s="4">
        <v>3</v>
      </c>
      <c r="E83" s="8">
        <v>2</v>
      </c>
      <c r="F83" s="6" t="s">
        <v>109</v>
      </c>
      <c r="G83" s="4">
        <v>2700</v>
      </c>
      <c r="H83" s="4">
        <v>1000</v>
      </c>
      <c r="I83" s="4" t="s">
        <v>113</v>
      </c>
      <c r="K83" s="4">
        <v>360</v>
      </c>
      <c r="P83" s="4">
        <v>0</v>
      </c>
      <c r="Q83" s="4">
        <v>0</v>
      </c>
    </row>
    <row r="84" spans="1:17">
      <c r="A84" s="4">
        <f t="shared" si="1"/>
        <v>209004</v>
      </c>
      <c r="B84" s="4" t="s">
        <v>206</v>
      </c>
      <c r="C84" s="4">
        <v>209</v>
      </c>
      <c r="D84" s="4">
        <v>4</v>
      </c>
      <c r="E84" s="8">
        <v>2</v>
      </c>
      <c r="F84" s="6" t="s">
        <v>109</v>
      </c>
      <c r="G84" s="4">
        <v>3200</v>
      </c>
      <c r="H84" s="4">
        <v>1000</v>
      </c>
      <c r="I84" s="4" t="s">
        <v>113</v>
      </c>
      <c r="K84" s="4">
        <v>360</v>
      </c>
      <c r="P84" s="4">
        <v>0</v>
      </c>
      <c r="Q84" s="4">
        <v>0</v>
      </c>
    </row>
    <row r="85" spans="1:17">
      <c r="A85" s="4">
        <f t="shared" si="1"/>
        <v>209005</v>
      </c>
      <c r="B85" s="4" t="s">
        <v>207</v>
      </c>
      <c r="C85" s="4">
        <v>209</v>
      </c>
      <c r="D85" s="4">
        <v>5</v>
      </c>
      <c r="E85" s="8">
        <v>2</v>
      </c>
      <c r="F85" s="6" t="s">
        <v>109</v>
      </c>
      <c r="G85" s="4">
        <v>3600</v>
      </c>
      <c r="H85" s="4">
        <v>1000</v>
      </c>
      <c r="I85" s="4" t="s">
        <v>113</v>
      </c>
      <c r="K85" s="4">
        <v>360</v>
      </c>
      <c r="P85" s="4">
        <v>0</v>
      </c>
      <c r="Q85" s="4">
        <v>0</v>
      </c>
    </row>
    <row r="86" spans="1:17">
      <c r="A86" s="4">
        <f t="shared" si="1"/>
        <v>209006</v>
      </c>
      <c r="B86" s="4" t="s">
        <v>208</v>
      </c>
      <c r="C86" s="4">
        <v>209</v>
      </c>
      <c r="D86" s="4">
        <v>6</v>
      </c>
      <c r="E86" s="8">
        <v>2</v>
      </c>
      <c r="F86" s="6" t="s">
        <v>109</v>
      </c>
      <c r="G86" s="4">
        <v>3600</v>
      </c>
      <c r="H86" s="4">
        <v>1000</v>
      </c>
      <c r="I86" s="4" t="s">
        <v>113</v>
      </c>
      <c r="K86" s="4">
        <v>360</v>
      </c>
      <c r="P86" s="4">
        <v>0</v>
      </c>
      <c r="Q86" s="4">
        <v>0</v>
      </c>
    </row>
    <row r="87" spans="1:17">
      <c r="A87" s="4">
        <f t="shared" si="1"/>
        <v>210001</v>
      </c>
      <c r="B87" s="4" t="s">
        <v>209</v>
      </c>
      <c r="C87" s="4">
        <v>210</v>
      </c>
      <c r="D87" s="4">
        <v>1</v>
      </c>
      <c r="E87" s="8">
        <v>2</v>
      </c>
      <c r="F87" s="6" t="s">
        <v>109</v>
      </c>
      <c r="G87" s="4">
        <v>1000</v>
      </c>
      <c r="H87" s="4">
        <v>1000</v>
      </c>
      <c r="P87" s="4">
        <v>0</v>
      </c>
      <c r="Q87" s="4">
        <v>0</v>
      </c>
    </row>
    <row r="88" spans="1:17">
      <c r="A88" s="4">
        <f t="shared" si="1"/>
        <v>210002</v>
      </c>
      <c r="B88" s="4" t="s">
        <v>210</v>
      </c>
      <c r="C88" s="4">
        <v>210</v>
      </c>
      <c r="D88" s="4">
        <v>2</v>
      </c>
      <c r="E88" s="8">
        <v>2</v>
      </c>
      <c r="F88" s="6" t="s">
        <v>109</v>
      </c>
      <c r="G88" s="4">
        <v>2000</v>
      </c>
      <c r="H88" s="4">
        <v>1000</v>
      </c>
      <c r="P88" s="4">
        <v>0</v>
      </c>
      <c r="Q88" s="4">
        <v>0</v>
      </c>
    </row>
    <row r="89" spans="1:17">
      <c r="A89" s="4">
        <f t="shared" si="1"/>
        <v>210003</v>
      </c>
      <c r="B89" s="4" t="s">
        <v>211</v>
      </c>
      <c r="C89" s="4">
        <v>210</v>
      </c>
      <c r="D89" s="4">
        <v>3</v>
      </c>
      <c r="E89" s="8">
        <v>2</v>
      </c>
      <c r="F89" s="6" t="s">
        <v>109</v>
      </c>
      <c r="G89" s="4">
        <v>2000</v>
      </c>
      <c r="H89" s="4">
        <v>1000</v>
      </c>
      <c r="P89" s="4">
        <v>0</v>
      </c>
      <c r="Q89" s="4">
        <v>0</v>
      </c>
    </row>
    <row r="90" spans="1:17">
      <c r="A90" s="4">
        <f t="shared" si="1"/>
        <v>210004</v>
      </c>
      <c r="B90" s="4" t="s">
        <v>212</v>
      </c>
      <c r="C90" s="4">
        <v>210</v>
      </c>
      <c r="D90" s="4">
        <v>4</v>
      </c>
      <c r="E90" s="8">
        <v>2</v>
      </c>
      <c r="F90" s="6" t="s">
        <v>109</v>
      </c>
      <c r="G90" s="4">
        <v>3000</v>
      </c>
      <c r="H90" s="4">
        <v>1000</v>
      </c>
      <c r="P90" s="4">
        <v>0</v>
      </c>
      <c r="Q90" s="4">
        <v>0</v>
      </c>
    </row>
    <row r="91" spans="1:17">
      <c r="A91" s="4">
        <f t="shared" si="1"/>
        <v>210005</v>
      </c>
      <c r="B91" s="4" t="s">
        <v>213</v>
      </c>
      <c r="C91" s="4">
        <v>210</v>
      </c>
      <c r="D91" s="4">
        <v>5</v>
      </c>
      <c r="E91" s="8">
        <v>2</v>
      </c>
      <c r="F91" s="6" t="s">
        <v>109</v>
      </c>
      <c r="G91" s="4">
        <v>5000</v>
      </c>
      <c r="H91" s="4">
        <v>1000</v>
      </c>
      <c r="P91" s="4">
        <v>0</v>
      </c>
      <c r="Q91" s="4">
        <v>0</v>
      </c>
    </row>
    <row r="92" spans="1:17">
      <c r="A92" s="4">
        <f t="shared" si="1"/>
        <v>210006</v>
      </c>
      <c r="B92" s="4" t="s">
        <v>214</v>
      </c>
      <c r="C92" s="4">
        <v>210</v>
      </c>
      <c r="D92" s="4">
        <v>6</v>
      </c>
      <c r="E92" s="8">
        <v>2</v>
      </c>
      <c r="F92" s="6" t="s">
        <v>109</v>
      </c>
      <c r="G92" s="4">
        <v>5000</v>
      </c>
      <c r="H92" s="4">
        <v>1000</v>
      </c>
      <c r="P92" s="4">
        <v>0</v>
      </c>
      <c r="Q92" s="4">
        <v>0</v>
      </c>
    </row>
    <row r="93" spans="1:17">
      <c r="A93" s="4">
        <f t="shared" si="1"/>
        <v>211001</v>
      </c>
      <c r="B93" s="4" t="s">
        <v>215</v>
      </c>
      <c r="C93" s="4">
        <v>211</v>
      </c>
      <c r="D93" s="4">
        <v>1</v>
      </c>
      <c r="E93" s="8">
        <v>2</v>
      </c>
      <c r="F93" s="6" t="s">
        <v>109</v>
      </c>
      <c r="G93" s="4">
        <v>2000</v>
      </c>
      <c r="H93" s="4">
        <v>1000</v>
      </c>
      <c r="P93" s="4">
        <v>0</v>
      </c>
      <c r="Q93" s="4">
        <v>0</v>
      </c>
    </row>
    <row r="94" spans="1:17">
      <c r="A94" s="4">
        <f t="shared" si="1"/>
        <v>211002</v>
      </c>
      <c r="B94" s="4" t="s">
        <v>216</v>
      </c>
      <c r="C94" s="4">
        <v>211</v>
      </c>
      <c r="D94" s="4">
        <v>2</v>
      </c>
      <c r="E94" s="8">
        <v>2</v>
      </c>
      <c r="F94" s="6" t="s">
        <v>109</v>
      </c>
      <c r="G94" s="4">
        <v>2000</v>
      </c>
      <c r="H94" s="4">
        <v>1000</v>
      </c>
      <c r="P94" s="4">
        <v>0</v>
      </c>
      <c r="Q94" s="4">
        <v>0</v>
      </c>
    </row>
    <row r="95" spans="1:17">
      <c r="A95" s="4">
        <f t="shared" si="1"/>
        <v>211003</v>
      </c>
      <c r="B95" s="4" t="s">
        <v>217</v>
      </c>
      <c r="C95" s="4">
        <v>211</v>
      </c>
      <c r="D95" s="4">
        <v>3</v>
      </c>
      <c r="E95" s="8">
        <v>2</v>
      </c>
      <c r="F95" s="6" t="s">
        <v>109</v>
      </c>
      <c r="G95" s="4">
        <v>3000</v>
      </c>
      <c r="H95" s="4">
        <v>1000</v>
      </c>
      <c r="P95" s="4">
        <v>0</v>
      </c>
      <c r="Q95" s="4">
        <v>0</v>
      </c>
    </row>
    <row r="96" spans="1:17">
      <c r="A96" s="4">
        <f t="shared" si="1"/>
        <v>211004</v>
      </c>
      <c r="B96" s="4" t="s">
        <v>218</v>
      </c>
      <c r="C96" s="4">
        <v>211</v>
      </c>
      <c r="D96" s="4">
        <v>4</v>
      </c>
      <c r="E96" s="8">
        <v>2</v>
      </c>
      <c r="F96" s="6" t="s">
        <v>109</v>
      </c>
      <c r="G96" s="4">
        <v>5000</v>
      </c>
      <c r="H96" s="4">
        <v>1000</v>
      </c>
      <c r="P96" s="4">
        <v>0</v>
      </c>
      <c r="Q96" s="4">
        <v>0</v>
      </c>
    </row>
    <row r="97" spans="1:17">
      <c r="A97" s="4">
        <f t="shared" si="1"/>
        <v>211005</v>
      </c>
      <c r="B97" s="4" t="s">
        <v>219</v>
      </c>
      <c r="C97" s="4">
        <v>211</v>
      </c>
      <c r="D97" s="4">
        <v>5</v>
      </c>
      <c r="E97" s="8">
        <v>2</v>
      </c>
      <c r="F97" s="6" t="s">
        <v>109</v>
      </c>
      <c r="G97" s="4">
        <v>5000</v>
      </c>
      <c r="H97" s="4">
        <v>1000</v>
      </c>
      <c r="P97" s="4">
        <v>0</v>
      </c>
      <c r="Q97" s="4">
        <v>0</v>
      </c>
    </row>
    <row r="98" spans="1:17">
      <c r="A98" s="4">
        <f t="shared" si="1"/>
        <v>211006</v>
      </c>
      <c r="B98" s="4" t="s">
        <v>220</v>
      </c>
      <c r="C98" s="4">
        <v>211</v>
      </c>
      <c r="D98" s="4">
        <v>6</v>
      </c>
      <c r="E98" s="8">
        <v>2</v>
      </c>
      <c r="F98" s="6" t="s">
        <v>109</v>
      </c>
      <c r="G98" s="4">
        <v>5000</v>
      </c>
      <c r="H98" s="4">
        <v>1000</v>
      </c>
      <c r="P98" s="4">
        <v>0</v>
      </c>
      <c r="Q98" s="4">
        <v>0</v>
      </c>
    </row>
    <row r="99" spans="1:17">
      <c r="A99" s="4">
        <f t="shared" si="1"/>
        <v>212001</v>
      </c>
      <c r="B99" s="4" t="s">
        <v>221</v>
      </c>
      <c r="C99" s="4">
        <v>212</v>
      </c>
      <c r="D99" s="4">
        <v>1</v>
      </c>
      <c r="E99" s="8">
        <v>2</v>
      </c>
      <c r="F99" s="6" t="s">
        <v>109</v>
      </c>
      <c r="G99" s="4">
        <v>2000</v>
      </c>
      <c r="H99" s="4">
        <v>1000</v>
      </c>
      <c r="P99" s="4">
        <v>0</v>
      </c>
      <c r="Q99" s="4">
        <v>0</v>
      </c>
    </row>
    <row r="100" spans="1:24">
      <c r="A100" s="4">
        <f t="shared" si="1"/>
        <v>212002</v>
      </c>
      <c r="B100" s="4" t="s">
        <v>222</v>
      </c>
      <c r="C100" s="4">
        <v>212</v>
      </c>
      <c r="D100" s="4">
        <v>2</v>
      </c>
      <c r="E100" s="8">
        <v>2</v>
      </c>
      <c r="F100" s="6" t="s">
        <v>109</v>
      </c>
      <c r="G100" s="4">
        <v>4000</v>
      </c>
      <c r="H100" s="4">
        <v>1000</v>
      </c>
      <c r="P100" s="4">
        <v>0</v>
      </c>
      <c r="Q100" s="4">
        <v>0</v>
      </c>
      <c r="X100" s="4" t="s">
        <v>223</v>
      </c>
    </row>
    <row r="101" spans="1:24">
      <c r="A101" s="4">
        <f t="shared" si="1"/>
        <v>212003</v>
      </c>
      <c r="B101" s="4" t="s">
        <v>224</v>
      </c>
      <c r="C101" s="4">
        <v>212</v>
      </c>
      <c r="D101" s="4">
        <v>3</v>
      </c>
      <c r="E101" s="8">
        <v>2</v>
      </c>
      <c r="F101" s="6" t="s">
        <v>109</v>
      </c>
      <c r="G101" s="4">
        <v>4000</v>
      </c>
      <c r="H101" s="4">
        <v>1000</v>
      </c>
      <c r="P101" s="4">
        <v>0</v>
      </c>
      <c r="Q101" s="4">
        <v>0</v>
      </c>
      <c r="X101" s="4" t="s">
        <v>225</v>
      </c>
    </row>
    <row r="102" spans="1:24">
      <c r="A102" s="4">
        <f t="shared" si="1"/>
        <v>212004</v>
      </c>
      <c r="B102" s="4" t="s">
        <v>226</v>
      </c>
      <c r="C102" s="4">
        <v>212</v>
      </c>
      <c r="D102" s="4">
        <v>4</v>
      </c>
      <c r="E102" s="8">
        <v>2</v>
      </c>
      <c r="F102" s="6" t="s">
        <v>109</v>
      </c>
      <c r="G102" s="4">
        <v>6000</v>
      </c>
      <c r="H102" s="4">
        <v>1000</v>
      </c>
      <c r="P102" s="4">
        <v>0</v>
      </c>
      <c r="Q102" s="4">
        <v>0</v>
      </c>
      <c r="X102" s="4" t="s">
        <v>227</v>
      </c>
    </row>
    <row r="103" spans="1:24">
      <c r="A103" s="4">
        <f t="shared" si="1"/>
        <v>212005</v>
      </c>
      <c r="B103" s="4" t="s">
        <v>228</v>
      </c>
      <c r="C103" s="4">
        <v>212</v>
      </c>
      <c r="D103" s="4">
        <v>5</v>
      </c>
      <c r="E103" s="8">
        <v>2</v>
      </c>
      <c r="F103" s="6" t="s">
        <v>109</v>
      </c>
      <c r="G103" s="4">
        <v>12000</v>
      </c>
      <c r="H103" s="4">
        <v>1000</v>
      </c>
      <c r="P103" s="4">
        <v>0</v>
      </c>
      <c r="Q103" s="4">
        <v>0</v>
      </c>
      <c r="X103" s="4" t="s">
        <v>229</v>
      </c>
    </row>
    <row r="104" spans="1:24">
      <c r="A104" s="4">
        <f t="shared" si="1"/>
        <v>212006</v>
      </c>
      <c r="B104" s="4" t="s">
        <v>230</v>
      </c>
      <c r="C104" s="4">
        <v>212</v>
      </c>
      <c r="D104" s="4">
        <v>6</v>
      </c>
      <c r="E104" s="8">
        <v>2</v>
      </c>
      <c r="F104" s="6" t="s">
        <v>109</v>
      </c>
      <c r="G104" s="4">
        <v>12000</v>
      </c>
      <c r="H104" s="4">
        <v>1000</v>
      </c>
      <c r="P104" s="4">
        <v>0</v>
      </c>
      <c r="Q104" s="4">
        <v>0</v>
      </c>
      <c r="X104" s="4" t="s">
        <v>231</v>
      </c>
    </row>
    <row r="105" spans="1:17">
      <c r="A105" s="4">
        <f t="shared" si="1"/>
        <v>213001</v>
      </c>
      <c r="B105" s="4" t="s">
        <v>232</v>
      </c>
      <c r="C105" s="4">
        <v>213</v>
      </c>
      <c r="D105" s="4">
        <v>1</v>
      </c>
      <c r="E105" s="8">
        <v>2</v>
      </c>
      <c r="F105" s="6" t="s">
        <v>109</v>
      </c>
      <c r="G105" s="4">
        <v>600</v>
      </c>
      <c r="H105" s="4">
        <v>1000</v>
      </c>
      <c r="P105" s="4">
        <v>0</v>
      </c>
      <c r="Q105" s="4">
        <v>0</v>
      </c>
    </row>
    <row r="106" spans="1:17">
      <c r="A106" s="4">
        <f t="shared" si="1"/>
        <v>213002</v>
      </c>
      <c r="B106" s="4" t="s">
        <v>233</v>
      </c>
      <c r="C106" s="4">
        <v>213</v>
      </c>
      <c r="D106" s="4">
        <v>2</v>
      </c>
      <c r="E106" s="8">
        <v>2</v>
      </c>
      <c r="F106" s="6" t="s">
        <v>109</v>
      </c>
      <c r="G106" s="4">
        <v>1200</v>
      </c>
      <c r="H106" s="4">
        <v>1000</v>
      </c>
      <c r="P106" s="4">
        <v>0</v>
      </c>
      <c r="Q106" s="4">
        <v>0</v>
      </c>
    </row>
    <row r="107" spans="1:17">
      <c r="A107" s="4">
        <f t="shared" si="1"/>
        <v>213003</v>
      </c>
      <c r="B107" s="4" t="s">
        <v>234</v>
      </c>
      <c r="C107" s="4">
        <v>213</v>
      </c>
      <c r="D107" s="4">
        <v>3</v>
      </c>
      <c r="E107" s="8">
        <v>2</v>
      </c>
      <c r="F107" s="6" t="s">
        <v>109</v>
      </c>
      <c r="G107" s="4">
        <v>1200</v>
      </c>
      <c r="H107" s="4">
        <v>1000</v>
      </c>
      <c r="P107" s="4">
        <v>0</v>
      </c>
      <c r="Q107" s="4">
        <v>0</v>
      </c>
    </row>
    <row r="108" spans="1:17">
      <c r="A108" s="4">
        <f t="shared" si="1"/>
        <v>213004</v>
      </c>
      <c r="B108" s="4" t="s">
        <v>235</v>
      </c>
      <c r="C108" s="4">
        <v>213</v>
      </c>
      <c r="D108" s="4">
        <v>4</v>
      </c>
      <c r="E108" s="8">
        <v>2</v>
      </c>
      <c r="F108" s="6" t="s">
        <v>109</v>
      </c>
      <c r="G108" s="4">
        <v>2000</v>
      </c>
      <c r="H108" s="4">
        <v>1000</v>
      </c>
      <c r="P108" s="4">
        <v>0</v>
      </c>
      <c r="Q108" s="4">
        <v>0</v>
      </c>
    </row>
    <row r="109" spans="1:17">
      <c r="A109" s="4">
        <f t="shared" si="1"/>
        <v>213005</v>
      </c>
      <c r="B109" s="4" t="s">
        <v>236</v>
      </c>
      <c r="C109" s="4">
        <v>213</v>
      </c>
      <c r="D109" s="4">
        <v>5</v>
      </c>
      <c r="E109" s="8">
        <v>2</v>
      </c>
      <c r="F109" s="6" t="s">
        <v>109</v>
      </c>
      <c r="G109" s="4">
        <v>3000</v>
      </c>
      <c r="H109" s="4">
        <v>1000</v>
      </c>
      <c r="P109" s="4">
        <v>0</v>
      </c>
      <c r="Q109" s="4">
        <v>0</v>
      </c>
    </row>
    <row r="110" spans="1:17">
      <c r="A110" s="4">
        <f t="shared" si="1"/>
        <v>213006</v>
      </c>
      <c r="B110" s="4" t="s">
        <v>237</v>
      </c>
      <c r="C110" s="4">
        <v>213</v>
      </c>
      <c r="D110" s="4">
        <v>6</v>
      </c>
      <c r="E110" s="8">
        <v>2</v>
      </c>
      <c r="F110" s="6" t="s">
        <v>109</v>
      </c>
      <c r="G110" s="4">
        <v>3400</v>
      </c>
      <c r="H110" s="4">
        <v>1000</v>
      </c>
      <c r="P110" s="4">
        <v>0</v>
      </c>
      <c r="Q110" s="4">
        <v>0</v>
      </c>
    </row>
    <row r="111" spans="1:5">
      <c r="A111" s="4">
        <v>301001</v>
      </c>
      <c r="B111" s="4" t="s">
        <v>238</v>
      </c>
      <c r="E111" s="9">
        <v>3</v>
      </c>
    </row>
    <row r="112" spans="1:5">
      <c r="A112" s="4">
        <v>301002</v>
      </c>
      <c r="B112" s="4" t="s">
        <v>239</v>
      </c>
      <c r="E112" s="9">
        <v>3</v>
      </c>
    </row>
    <row r="113" spans="1:5">
      <c r="A113" s="4">
        <v>301003</v>
      </c>
      <c r="B113" s="4" t="s">
        <v>240</v>
      </c>
      <c r="E113" s="9">
        <v>3</v>
      </c>
    </row>
    <row r="114" spans="1:5">
      <c r="A114" s="4">
        <v>301004</v>
      </c>
      <c r="B114" s="4" t="s">
        <v>241</v>
      </c>
      <c r="E114" s="9">
        <v>3</v>
      </c>
    </row>
    <row r="115" spans="1:5">
      <c r="A115" s="4">
        <v>301005</v>
      </c>
      <c r="B115" s="4" t="s">
        <v>242</v>
      </c>
      <c r="E115" s="9">
        <v>3</v>
      </c>
    </row>
    <row r="116" spans="1:5">
      <c r="A116" s="4">
        <f>A111+1000</f>
        <v>302001</v>
      </c>
      <c r="B116" s="4" t="s">
        <v>243</v>
      </c>
      <c r="E116" s="9">
        <v>3</v>
      </c>
    </row>
    <row r="117" spans="1:5">
      <c r="A117" s="4">
        <f t="shared" ref="A117:A140" si="2">A112+1000</f>
        <v>302002</v>
      </c>
      <c r="B117" s="4" t="s">
        <v>244</v>
      </c>
      <c r="E117" s="9">
        <v>3</v>
      </c>
    </row>
    <row r="118" spans="1:5">
      <c r="A118" s="4">
        <f t="shared" si="2"/>
        <v>302003</v>
      </c>
      <c r="B118" s="4" t="s">
        <v>245</v>
      </c>
      <c r="E118" s="9">
        <v>3</v>
      </c>
    </row>
    <row r="119" spans="1:5">
      <c r="A119" s="4">
        <f t="shared" si="2"/>
        <v>302004</v>
      </c>
      <c r="B119" s="4" t="s">
        <v>246</v>
      </c>
      <c r="E119" s="9">
        <v>3</v>
      </c>
    </row>
    <row r="120" spans="1:5">
      <c r="A120" s="4">
        <f t="shared" si="2"/>
        <v>302005</v>
      </c>
      <c r="B120" s="4" t="s">
        <v>247</v>
      </c>
      <c r="E120" s="9">
        <v>3</v>
      </c>
    </row>
    <row r="121" spans="1:5">
      <c r="A121" s="4">
        <f t="shared" si="2"/>
        <v>303001</v>
      </c>
      <c r="E121" s="9">
        <v>3</v>
      </c>
    </row>
    <row r="122" spans="1:5">
      <c r="A122" s="4">
        <f t="shared" si="2"/>
        <v>303002</v>
      </c>
      <c r="E122" s="9">
        <v>3</v>
      </c>
    </row>
    <row r="123" spans="1:5">
      <c r="A123" s="4">
        <f t="shared" si="2"/>
        <v>303003</v>
      </c>
      <c r="E123" s="9">
        <v>3</v>
      </c>
    </row>
    <row r="124" spans="1:5">
      <c r="A124" s="4">
        <f t="shared" si="2"/>
        <v>303004</v>
      </c>
      <c r="E124" s="9">
        <v>3</v>
      </c>
    </row>
    <row r="125" spans="1:5">
      <c r="A125" s="4">
        <f t="shared" si="2"/>
        <v>303005</v>
      </c>
      <c r="E125" s="9">
        <v>3</v>
      </c>
    </row>
    <row r="126" spans="1:5">
      <c r="A126" s="4">
        <f t="shared" si="2"/>
        <v>304001</v>
      </c>
      <c r="E126" s="9">
        <v>3</v>
      </c>
    </row>
    <row r="127" spans="1:5">
      <c r="A127" s="4">
        <f t="shared" si="2"/>
        <v>304002</v>
      </c>
      <c r="E127" s="9">
        <v>3</v>
      </c>
    </row>
    <row r="128" spans="1:5">
      <c r="A128" s="4">
        <f t="shared" si="2"/>
        <v>304003</v>
      </c>
      <c r="E128" s="9">
        <v>3</v>
      </c>
    </row>
    <row r="129" spans="1:5">
      <c r="A129" s="4">
        <f t="shared" si="2"/>
        <v>304004</v>
      </c>
      <c r="E129" s="9">
        <v>3</v>
      </c>
    </row>
    <row r="130" spans="1:5">
      <c r="A130" s="4">
        <f t="shared" si="2"/>
        <v>304005</v>
      </c>
      <c r="E130" s="9">
        <v>3</v>
      </c>
    </row>
    <row r="131" spans="1:5">
      <c r="A131" s="4">
        <f t="shared" si="2"/>
        <v>305001</v>
      </c>
      <c r="E131" s="9">
        <v>3</v>
      </c>
    </row>
    <row r="132" spans="1:5">
      <c r="A132" s="4">
        <f t="shared" si="2"/>
        <v>305002</v>
      </c>
      <c r="E132" s="9">
        <v>3</v>
      </c>
    </row>
    <row r="133" spans="1:5">
      <c r="A133" s="4">
        <f t="shared" si="2"/>
        <v>305003</v>
      </c>
      <c r="E133" s="9">
        <v>3</v>
      </c>
    </row>
    <row r="134" spans="1:5">
      <c r="A134" s="4">
        <f t="shared" si="2"/>
        <v>305004</v>
      </c>
      <c r="E134" s="9">
        <v>3</v>
      </c>
    </row>
    <row r="135" spans="1:5">
      <c r="A135" s="4">
        <f t="shared" si="2"/>
        <v>305005</v>
      </c>
      <c r="E135" s="9">
        <v>3</v>
      </c>
    </row>
    <row r="136" spans="1:5">
      <c r="A136" s="4">
        <f t="shared" si="2"/>
        <v>306001</v>
      </c>
      <c r="E136" s="9">
        <v>3</v>
      </c>
    </row>
    <row r="137" spans="1:5">
      <c r="A137" s="4">
        <f t="shared" si="2"/>
        <v>306002</v>
      </c>
      <c r="E137" s="9">
        <v>3</v>
      </c>
    </row>
    <row r="138" spans="1:5">
      <c r="A138" s="4">
        <f t="shared" si="2"/>
        <v>306003</v>
      </c>
      <c r="E138" s="9">
        <v>3</v>
      </c>
    </row>
    <row r="139" spans="1:5">
      <c r="A139" s="4">
        <f t="shared" si="2"/>
        <v>306004</v>
      </c>
      <c r="E139" s="9">
        <v>3</v>
      </c>
    </row>
    <row r="140" spans="1:5">
      <c r="A140" s="4">
        <f t="shared" si="2"/>
        <v>306005</v>
      </c>
      <c r="E140" s="9">
        <v>3</v>
      </c>
    </row>
    <row r="141" spans="1:1">
      <c r="A141" s="4">
        <f t="shared" ref="A141:A149" si="3">A135+1000</f>
        <v>306005</v>
      </c>
    </row>
    <row r="142" spans="1:1">
      <c r="A142" s="4">
        <f t="shared" si="3"/>
        <v>307001</v>
      </c>
    </row>
    <row r="143" spans="1:1">
      <c r="A143" s="4">
        <f t="shared" si="3"/>
        <v>307002</v>
      </c>
    </row>
    <row r="144" spans="1:1">
      <c r="A144" s="4">
        <f t="shared" si="3"/>
        <v>307003</v>
      </c>
    </row>
    <row r="145" spans="1:1">
      <c r="A145" s="4">
        <f t="shared" si="3"/>
        <v>307004</v>
      </c>
    </row>
    <row r="146" spans="1:1">
      <c r="A146" s="4">
        <f t="shared" si="3"/>
        <v>307005</v>
      </c>
    </row>
    <row r="147" spans="1:1">
      <c r="A147" s="4">
        <f t="shared" si="3"/>
        <v>307005</v>
      </c>
    </row>
    <row r="148" spans="1:1">
      <c r="A148" s="4">
        <f t="shared" si="3"/>
        <v>308001</v>
      </c>
    </row>
    <row r="149" spans="1:1">
      <c r="A149" s="4">
        <f t="shared" si="3"/>
        <v>308002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40" sqref="B40"/>
    </sheetView>
  </sheetViews>
  <sheetFormatPr defaultColWidth="9" defaultRowHeight="14.25"/>
  <sheetData/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4"/>
  <sheetViews>
    <sheetView workbookViewId="0">
      <selection activeCell="B4" sqref="B4"/>
    </sheetView>
  </sheetViews>
  <sheetFormatPr defaultColWidth="9" defaultRowHeight="14.25" outlineLevelCol="1"/>
  <cols>
    <col min="1" max="1" width="13.875" customWidth="1"/>
    <col min="2" max="2" width="13.625" customWidth="1"/>
  </cols>
  <sheetData>
    <row r="1" spans="1:2">
      <c r="A1">
        <v>1</v>
      </c>
      <c r="B1">
        <v>1</v>
      </c>
    </row>
    <row r="2" spans="1:2">
      <c r="A2" t="s">
        <v>7</v>
      </c>
      <c r="B2" t="s">
        <v>7</v>
      </c>
    </row>
    <row r="3" spans="1:2">
      <c r="A3" t="s">
        <v>9</v>
      </c>
      <c r="B3" t="s">
        <v>248</v>
      </c>
    </row>
    <row r="4" spans="1:2">
      <c r="A4" t="s">
        <v>249</v>
      </c>
      <c r="B4" t="s">
        <v>250</v>
      </c>
    </row>
    <row r="5" spans="1:2">
      <c r="A5">
        <v>1</v>
      </c>
      <c r="B5">
        <v>0</v>
      </c>
    </row>
    <row r="6" spans="1:2">
      <c r="A6">
        <v>2</v>
      </c>
      <c r="B6">
        <v>50</v>
      </c>
    </row>
    <row r="7" spans="1:2">
      <c r="A7">
        <v>3</v>
      </c>
      <c r="B7">
        <v>100</v>
      </c>
    </row>
    <row r="8" spans="1:2">
      <c r="A8">
        <v>4</v>
      </c>
      <c r="B8">
        <v>150</v>
      </c>
    </row>
    <row r="9" spans="1:2">
      <c r="A9">
        <v>5</v>
      </c>
      <c r="B9">
        <v>200</v>
      </c>
    </row>
    <row r="10" spans="1:2">
      <c r="A10">
        <v>6</v>
      </c>
      <c r="B10">
        <v>250</v>
      </c>
    </row>
    <row r="11" spans="1:2">
      <c r="A11">
        <v>7</v>
      </c>
      <c r="B11">
        <v>300</v>
      </c>
    </row>
    <row r="12" spans="1:2">
      <c r="A12">
        <v>8</v>
      </c>
      <c r="B12">
        <v>350</v>
      </c>
    </row>
    <row r="13" spans="1:2">
      <c r="A13">
        <v>9</v>
      </c>
      <c r="B13">
        <v>400</v>
      </c>
    </row>
    <row r="14" spans="1:2">
      <c r="A14">
        <v>10</v>
      </c>
      <c r="B14">
        <v>450</v>
      </c>
    </row>
    <row r="15" spans="1:2">
      <c r="A15">
        <v>11</v>
      </c>
      <c r="B15">
        <v>500</v>
      </c>
    </row>
    <row r="16" spans="1:2">
      <c r="A16">
        <v>12</v>
      </c>
      <c r="B16">
        <v>550</v>
      </c>
    </row>
    <row r="17" spans="1:2">
      <c r="A17">
        <v>13</v>
      </c>
      <c r="B17">
        <v>600</v>
      </c>
    </row>
    <row r="18" spans="1:2">
      <c r="A18">
        <v>14</v>
      </c>
      <c r="B18">
        <v>650</v>
      </c>
    </row>
    <row r="19" spans="1:2">
      <c r="A19">
        <v>15</v>
      </c>
      <c r="B19">
        <v>700</v>
      </c>
    </row>
    <row r="20" spans="1:2">
      <c r="A20">
        <v>16</v>
      </c>
      <c r="B20">
        <v>750</v>
      </c>
    </row>
    <row r="21" spans="1:2">
      <c r="A21">
        <v>17</v>
      </c>
      <c r="B21">
        <v>800</v>
      </c>
    </row>
    <row r="22" spans="1:2">
      <c r="A22">
        <v>18</v>
      </c>
      <c r="B22">
        <v>850</v>
      </c>
    </row>
    <row r="23" spans="1:2">
      <c r="A23">
        <v>19</v>
      </c>
      <c r="B23">
        <v>900</v>
      </c>
    </row>
    <row r="24" spans="1:2">
      <c r="A24">
        <v>20</v>
      </c>
      <c r="B24">
        <v>950</v>
      </c>
    </row>
    <row r="25" spans="1:2">
      <c r="A25">
        <v>21</v>
      </c>
      <c r="B25">
        <v>1000</v>
      </c>
    </row>
    <row r="26" spans="1:2">
      <c r="A26">
        <v>22</v>
      </c>
      <c r="B26">
        <v>1050</v>
      </c>
    </row>
    <row r="27" spans="1:2">
      <c r="A27">
        <v>23</v>
      </c>
      <c r="B27">
        <v>1100</v>
      </c>
    </row>
    <row r="28" spans="1:2">
      <c r="A28">
        <v>24</v>
      </c>
      <c r="B28">
        <v>1150</v>
      </c>
    </row>
    <row r="29" spans="1:2">
      <c r="A29">
        <v>25</v>
      </c>
      <c r="B29">
        <v>1200</v>
      </c>
    </row>
    <row r="30" spans="1:2">
      <c r="A30">
        <v>26</v>
      </c>
      <c r="B30">
        <v>1250</v>
      </c>
    </row>
    <row r="31" spans="1:2">
      <c r="A31">
        <v>27</v>
      </c>
      <c r="B31">
        <v>1300</v>
      </c>
    </row>
    <row r="32" spans="1:2">
      <c r="A32">
        <v>28</v>
      </c>
      <c r="B32">
        <v>1350</v>
      </c>
    </row>
    <row r="33" spans="1:2">
      <c r="A33">
        <v>29</v>
      </c>
      <c r="B33">
        <v>1400</v>
      </c>
    </row>
    <row r="34" spans="1:2">
      <c r="A34">
        <v>30</v>
      </c>
      <c r="B34">
        <v>1450</v>
      </c>
    </row>
    <row r="35" spans="1:2">
      <c r="A35">
        <v>31</v>
      </c>
      <c r="B35">
        <v>1500</v>
      </c>
    </row>
    <row r="36" spans="1:2">
      <c r="A36">
        <v>32</v>
      </c>
      <c r="B36">
        <v>1550</v>
      </c>
    </row>
    <row r="37" spans="1:2">
      <c r="A37">
        <v>33</v>
      </c>
      <c r="B37">
        <v>1600</v>
      </c>
    </row>
    <row r="38" spans="1:2">
      <c r="A38">
        <v>34</v>
      </c>
      <c r="B38">
        <v>1650</v>
      </c>
    </row>
    <row r="39" spans="1:2">
      <c r="A39">
        <v>35</v>
      </c>
      <c r="B39">
        <v>1700</v>
      </c>
    </row>
    <row r="40" spans="1:2">
      <c r="A40">
        <v>36</v>
      </c>
      <c r="B40">
        <v>1750</v>
      </c>
    </row>
    <row r="41" spans="1:2">
      <c r="A41">
        <v>37</v>
      </c>
      <c r="B41">
        <v>1800</v>
      </c>
    </row>
    <row r="42" spans="1:2">
      <c r="A42">
        <v>38</v>
      </c>
      <c r="B42">
        <v>1850</v>
      </c>
    </row>
    <row r="43" spans="1:2">
      <c r="A43">
        <v>39</v>
      </c>
      <c r="B43">
        <v>1900</v>
      </c>
    </row>
    <row r="44" spans="1:2">
      <c r="A44">
        <v>40</v>
      </c>
      <c r="B44">
        <v>1950</v>
      </c>
    </row>
    <row r="45" spans="1:2">
      <c r="A45">
        <v>41</v>
      </c>
      <c r="B45">
        <v>2000</v>
      </c>
    </row>
    <row r="46" spans="1:2">
      <c r="A46">
        <v>42</v>
      </c>
      <c r="B46">
        <v>2050</v>
      </c>
    </row>
    <row r="47" spans="1:2">
      <c r="A47">
        <v>43</v>
      </c>
      <c r="B47">
        <v>2100</v>
      </c>
    </row>
    <row r="48" spans="1:2">
      <c r="A48">
        <v>44</v>
      </c>
      <c r="B48">
        <v>2150</v>
      </c>
    </row>
    <row r="49" spans="1:2">
      <c r="A49">
        <v>45</v>
      </c>
      <c r="B49">
        <v>2200</v>
      </c>
    </row>
    <row r="50" spans="1:2">
      <c r="A50">
        <v>46</v>
      </c>
      <c r="B50">
        <v>2250</v>
      </c>
    </row>
    <row r="51" spans="1:2">
      <c r="A51">
        <v>47</v>
      </c>
      <c r="B51">
        <v>2300</v>
      </c>
    </row>
    <row r="52" spans="1:2">
      <c r="A52">
        <v>48</v>
      </c>
      <c r="B52">
        <v>2350</v>
      </c>
    </row>
    <row r="53" spans="1:2">
      <c r="A53">
        <v>49</v>
      </c>
      <c r="B53">
        <v>2400</v>
      </c>
    </row>
    <row r="54" spans="1:2">
      <c r="A54">
        <v>50</v>
      </c>
      <c r="B54">
        <v>2450</v>
      </c>
    </row>
  </sheetData>
  <pageMargins left="0.7" right="0.7" top="0.75" bottom="0.75" header="0.3" footer="0.3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R62"/>
  <sheetViews>
    <sheetView topLeftCell="A6" workbookViewId="0">
      <selection activeCell="I14" sqref="I14"/>
    </sheetView>
  </sheetViews>
  <sheetFormatPr defaultColWidth="9" defaultRowHeight="16.5"/>
  <cols>
    <col min="1" max="1" width="9" style="1"/>
    <col min="2" max="2" width="12" style="1" customWidth="1"/>
    <col min="3" max="16384" width="9" style="1"/>
  </cols>
  <sheetData>
    <row r="1" spans="1:17">
      <c r="A1" s="1" t="s">
        <v>69</v>
      </c>
      <c r="B1" s="1" t="s">
        <v>10</v>
      </c>
      <c r="C1" s="1" t="s">
        <v>251</v>
      </c>
      <c r="D1" s="1" t="s">
        <v>252</v>
      </c>
      <c r="E1" s="1" t="s">
        <v>12</v>
      </c>
      <c r="F1" s="1" t="s">
        <v>253</v>
      </c>
      <c r="G1" s="1" t="s">
        <v>254</v>
      </c>
      <c r="Q1" s="1" t="s">
        <v>32</v>
      </c>
    </row>
    <row r="2" spans="1:18">
      <c r="A2" s="1" t="s">
        <v>255</v>
      </c>
      <c r="B2" s="1" t="s">
        <v>24</v>
      </c>
      <c r="C2" s="1" t="s">
        <v>256</v>
      </c>
      <c r="D2" s="1" t="s">
        <v>257</v>
      </c>
      <c r="E2" s="1" t="s">
        <v>258</v>
      </c>
      <c r="F2" s="1" t="s">
        <v>259</v>
      </c>
      <c r="G2" s="1" t="s">
        <v>260</v>
      </c>
      <c r="Q2" s="1" t="s">
        <v>261</v>
      </c>
      <c r="R2" s="1">
        <v>1</v>
      </c>
    </row>
    <row r="3" spans="1:18">
      <c r="A3" s="1">
        <v>100001</v>
      </c>
      <c r="B3" s="2" t="s">
        <v>262</v>
      </c>
      <c r="C3" s="1">
        <v>101</v>
      </c>
      <c r="D3" s="1">
        <v>1</v>
      </c>
      <c r="E3" s="1">
        <v>1</v>
      </c>
      <c r="F3" s="1">
        <v>10</v>
      </c>
      <c r="G3" s="1">
        <v>0</v>
      </c>
      <c r="Q3" s="1" t="s">
        <v>263</v>
      </c>
      <c r="R3" s="1">
        <v>1.5</v>
      </c>
    </row>
    <row r="4" spans="1:18">
      <c r="A4" s="1">
        <v>100002</v>
      </c>
      <c r="B4" s="2" t="s">
        <v>262</v>
      </c>
      <c r="C4" s="1">
        <v>101</v>
      </c>
      <c r="D4" s="1">
        <v>1</v>
      </c>
      <c r="E4" s="1">
        <v>2</v>
      </c>
      <c r="F4" s="1">
        <v>13</v>
      </c>
      <c r="G4" s="1">
        <v>0</v>
      </c>
      <c r="Q4" s="1" t="s">
        <v>264</v>
      </c>
      <c r="R4" s="1">
        <v>2</v>
      </c>
    </row>
    <row r="5" spans="1:7">
      <c r="A5" s="1">
        <v>100003</v>
      </c>
      <c r="B5" s="2" t="s">
        <v>262</v>
      </c>
      <c r="C5" s="1">
        <v>101</v>
      </c>
      <c r="D5" s="1">
        <v>1</v>
      </c>
      <c r="E5" s="1">
        <v>3</v>
      </c>
      <c r="F5" s="1">
        <v>16</v>
      </c>
      <c r="G5" s="1">
        <v>0</v>
      </c>
    </row>
    <row r="6" spans="1:7">
      <c r="A6" s="1">
        <v>100004</v>
      </c>
      <c r="B6" s="2" t="s">
        <v>262</v>
      </c>
      <c r="C6" s="1">
        <v>101</v>
      </c>
      <c r="D6" s="1">
        <v>1</v>
      </c>
      <c r="E6" s="1">
        <v>4</v>
      </c>
      <c r="F6" s="1">
        <v>19</v>
      </c>
      <c r="G6" s="1">
        <v>0</v>
      </c>
    </row>
    <row r="7" spans="1:7">
      <c r="A7" s="1">
        <v>100005</v>
      </c>
      <c r="B7" s="2" t="s">
        <v>262</v>
      </c>
      <c r="C7" s="1">
        <v>101</v>
      </c>
      <c r="D7" s="1">
        <v>1</v>
      </c>
      <c r="E7" s="1">
        <v>5</v>
      </c>
      <c r="F7" s="1">
        <v>22</v>
      </c>
      <c r="G7" s="1">
        <v>0</v>
      </c>
    </row>
    <row r="8" spans="1:7">
      <c r="A8" s="1">
        <v>100101</v>
      </c>
      <c r="B8" s="3" t="s">
        <v>265</v>
      </c>
      <c r="C8" s="1">
        <v>101</v>
      </c>
      <c r="D8" s="1">
        <v>2</v>
      </c>
      <c r="E8" s="1">
        <v>1</v>
      </c>
      <c r="F8" s="1">
        <v>20</v>
      </c>
      <c r="G8" s="1">
        <v>0</v>
      </c>
    </row>
    <row r="9" spans="1:7">
      <c r="A9" s="1">
        <v>100102</v>
      </c>
      <c r="B9" s="3" t="s">
        <v>265</v>
      </c>
      <c r="C9" s="1">
        <v>101</v>
      </c>
      <c r="D9" s="1">
        <v>2</v>
      </c>
      <c r="E9" s="1">
        <v>2</v>
      </c>
      <c r="F9" s="1">
        <v>24</v>
      </c>
      <c r="G9" s="1">
        <v>0</v>
      </c>
    </row>
    <row r="10" spans="1:7">
      <c r="A10" s="1">
        <v>100103</v>
      </c>
      <c r="B10" s="3" t="s">
        <v>265</v>
      </c>
      <c r="C10" s="1">
        <v>101</v>
      </c>
      <c r="D10" s="1">
        <v>2</v>
      </c>
      <c r="E10" s="1">
        <v>3</v>
      </c>
      <c r="F10" s="1">
        <v>28</v>
      </c>
      <c r="G10" s="1">
        <v>0</v>
      </c>
    </row>
    <row r="11" spans="1:7">
      <c r="A11" s="1">
        <v>100104</v>
      </c>
      <c r="B11" s="3" t="s">
        <v>265</v>
      </c>
      <c r="C11" s="1">
        <v>101</v>
      </c>
      <c r="D11" s="1">
        <v>2</v>
      </c>
      <c r="E11" s="1">
        <v>4</v>
      </c>
      <c r="F11" s="1">
        <v>32</v>
      </c>
      <c r="G11" s="1">
        <v>0</v>
      </c>
    </row>
    <row r="12" spans="1:7">
      <c r="A12" s="1">
        <v>100105</v>
      </c>
      <c r="B12" s="3" t="s">
        <v>265</v>
      </c>
      <c r="C12" s="1">
        <v>101</v>
      </c>
      <c r="D12" s="1">
        <v>2</v>
      </c>
      <c r="E12" s="1">
        <v>5</v>
      </c>
      <c r="F12" s="1">
        <v>36</v>
      </c>
      <c r="G12" s="1">
        <v>0</v>
      </c>
    </row>
    <row r="13" spans="1:7">
      <c r="A13" s="1">
        <v>101001</v>
      </c>
      <c r="B13" s="2" t="s">
        <v>266</v>
      </c>
      <c r="C13" s="1">
        <v>102</v>
      </c>
      <c r="D13" s="1">
        <v>1</v>
      </c>
      <c r="E13" s="1">
        <v>1</v>
      </c>
      <c r="F13" s="1">
        <v>10</v>
      </c>
      <c r="G13" s="1">
        <v>0</v>
      </c>
    </row>
    <row r="14" spans="1:7">
      <c r="A14" s="1">
        <v>101002</v>
      </c>
      <c r="B14" s="2" t="s">
        <v>266</v>
      </c>
      <c r="C14" s="1">
        <v>102</v>
      </c>
      <c r="D14" s="1">
        <v>1</v>
      </c>
      <c r="E14" s="1">
        <v>2</v>
      </c>
      <c r="F14" s="1">
        <v>13</v>
      </c>
      <c r="G14" s="1">
        <v>0</v>
      </c>
    </row>
    <row r="15" spans="1:7">
      <c r="A15" s="1">
        <v>101003</v>
      </c>
      <c r="B15" s="2" t="s">
        <v>266</v>
      </c>
      <c r="C15" s="1">
        <v>102</v>
      </c>
      <c r="D15" s="1">
        <v>1</v>
      </c>
      <c r="E15" s="1">
        <v>3</v>
      </c>
      <c r="F15" s="1">
        <v>16</v>
      </c>
      <c r="G15" s="1">
        <v>0</v>
      </c>
    </row>
    <row r="16" spans="1:7">
      <c r="A16" s="1">
        <v>101004</v>
      </c>
      <c r="B16" s="2" t="s">
        <v>266</v>
      </c>
      <c r="C16" s="1">
        <v>102</v>
      </c>
      <c r="D16" s="1">
        <v>1</v>
      </c>
      <c r="E16" s="1">
        <v>4</v>
      </c>
      <c r="F16" s="1">
        <v>19</v>
      </c>
      <c r="G16" s="1">
        <v>0</v>
      </c>
    </row>
    <row r="17" spans="1:7">
      <c r="A17" s="1">
        <v>101005</v>
      </c>
      <c r="B17" s="2" t="s">
        <v>266</v>
      </c>
      <c r="C17" s="1">
        <v>102</v>
      </c>
      <c r="D17" s="1">
        <v>1</v>
      </c>
      <c r="E17" s="1">
        <v>5</v>
      </c>
      <c r="F17" s="1">
        <v>22</v>
      </c>
      <c r="G17" s="1">
        <v>0</v>
      </c>
    </row>
    <row r="18" spans="1:7">
      <c r="A18" s="1">
        <v>101101</v>
      </c>
      <c r="B18" s="3" t="s">
        <v>267</v>
      </c>
      <c r="C18" s="1">
        <v>102</v>
      </c>
      <c r="D18" s="1">
        <v>2</v>
      </c>
      <c r="E18" s="1">
        <v>1</v>
      </c>
      <c r="F18" s="1">
        <v>20</v>
      </c>
      <c r="G18" s="1">
        <v>0</v>
      </c>
    </row>
    <row r="19" spans="1:7">
      <c r="A19" s="1">
        <v>101102</v>
      </c>
      <c r="B19" s="3" t="s">
        <v>267</v>
      </c>
      <c r="C19" s="1">
        <v>102</v>
      </c>
      <c r="D19" s="1">
        <v>2</v>
      </c>
      <c r="E19" s="1">
        <v>2</v>
      </c>
      <c r="F19" s="1">
        <v>24</v>
      </c>
      <c r="G19" s="1">
        <v>0</v>
      </c>
    </row>
    <row r="20" spans="1:7">
      <c r="A20" s="1">
        <v>101103</v>
      </c>
      <c r="B20" s="3" t="s">
        <v>267</v>
      </c>
      <c r="C20" s="1">
        <v>102</v>
      </c>
      <c r="D20" s="1">
        <v>2</v>
      </c>
      <c r="E20" s="1">
        <v>3</v>
      </c>
      <c r="F20" s="1">
        <v>28</v>
      </c>
      <c r="G20" s="1">
        <v>0</v>
      </c>
    </row>
    <row r="21" spans="1:7">
      <c r="A21" s="1">
        <v>101104</v>
      </c>
      <c r="B21" s="3" t="s">
        <v>267</v>
      </c>
      <c r="C21" s="1">
        <v>102</v>
      </c>
      <c r="D21" s="1">
        <v>2</v>
      </c>
      <c r="E21" s="1">
        <v>4</v>
      </c>
      <c r="F21" s="1">
        <v>32</v>
      </c>
      <c r="G21" s="1">
        <v>0</v>
      </c>
    </row>
    <row r="22" spans="1:7">
      <c r="A22" s="1">
        <v>101105</v>
      </c>
      <c r="B22" s="3" t="s">
        <v>267</v>
      </c>
      <c r="C22" s="1">
        <v>102</v>
      </c>
      <c r="D22" s="1">
        <v>2</v>
      </c>
      <c r="E22" s="1">
        <v>5</v>
      </c>
      <c r="F22" s="1">
        <v>36</v>
      </c>
      <c r="G22" s="1">
        <v>0</v>
      </c>
    </row>
    <row r="23" spans="1:7">
      <c r="A23" s="1">
        <v>110001</v>
      </c>
      <c r="B23" s="2" t="s">
        <v>268</v>
      </c>
      <c r="C23" s="1">
        <v>201</v>
      </c>
      <c r="D23" s="1">
        <v>1</v>
      </c>
      <c r="E23" s="1">
        <v>1</v>
      </c>
      <c r="F23" s="1">
        <v>10</v>
      </c>
      <c r="G23" s="1">
        <v>0</v>
      </c>
    </row>
    <row r="24" spans="1:7">
      <c r="A24" s="1">
        <v>110002</v>
      </c>
      <c r="B24" s="2" t="s">
        <v>268</v>
      </c>
      <c r="C24" s="1">
        <v>201</v>
      </c>
      <c r="D24" s="1">
        <v>1</v>
      </c>
      <c r="E24" s="1">
        <v>2</v>
      </c>
      <c r="F24" s="1">
        <v>13</v>
      </c>
      <c r="G24" s="1">
        <v>0</v>
      </c>
    </row>
    <row r="25" spans="1:7">
      <c r="A25" s="1">
        <v>110002</v>
      </c>
      <c r="B25" s="2" t="s">
        <v>268</v>
      </c>
      <c r="C25" s="1">
        <v>201</v>
      </c>
      <c r="D25" s="1">
        <v>1</v>
      </c>
      <c r="E25" s="1">
        <v>3</v>
      </c>
      <c r="F25" s="1">
        <v>16</v>
      </c>
      <c r="G25" s="1">
        <v>0</v>
      </c>
    </row>
    <row r="26" spans="1:7">
      <c r="A26" s="1">
        <v>110002</v>
      </c>
      <c r="B26" s="2" t="s">
        <v>268</v>
      </c>
      <c r="C26" s="1">
        <v>201</v>
      </c>
      <c r="D26" s="1">
        <v>1</v>
      </c>
      <c r="E26" s="1">
        <v>4</v>
      </c>
      <c r="F26" s="1">
        <v>19</v>
      </c>
      <c r="G26" s="1">
        <v>0</v>
      </c>
    </row>
    <row r="27" spans="1:7">
      <c r="A27" s="1">
        <v>110002</v>
      </c>
      <c r="B27" s="2" t="s">
        <v>268</v>
      </c>
      <c r="C27" s="1">
        <v>201</v>
      </c>
      <c r="D27" s="1">
        <v>1</v>
      </c>
      <c r="E27" s="1">
        <v>5</v>
      </c>
      <c r="F27" s="1">
        <v>22</v>
      </c>
      <c r="G27" s="1">
        <v>0</v>
      </c>
    </row>
    <row r="28" spans="1:7">
      <c r="A28" s="1">
        <v>110002</v>
      </c>
      <c r="B28" s="3" t="s">
        <v>269</v>
      </c>
      <c r="C28" s="1">
        <v>201</v>
      </c>
      <c r="D28" s="1">
        <v>2</v>
      </c>
      <c r="E28" s="1">
        <v>1</v>
      </c>
      <c r="F28" s="1">
        <v>20</v>
      </c>
      <c r="G28" s="1">
        <v>0</v>
      </c>
    </row>
    <row r="29" spans="1:7">
      <c r="A29" s="1">
        <v>110002</v>
      </c>
      <c r="B29" s="3" t="s">
        <v>269</v>
      </c>
      <c r="C29" s="1">
        <v>201</v>
      </c>
      <c r="D29" s="1">
        <v>2</v>
      </c>
      <c r="E29" s="1">
        <v>2</v>
      </c>
      <c r="F29" s="1">
        <v>24</v>
      </c>
      <c r="G29" s="1">
        <v>0</v>
      </c>
    </row>
    <row r="30" spans="1:7">
      <c r="A30" s="1">
        <v>110002</v>
      </c>
      <c r="B30" s="3" t="s">
        <v>269</v>
      </c>
      <c r="C30" s="1">
        <v>201</v>
      </c>
      <c r="D30" s="1">
        <v>2</v>
      </c>
      <c r="E30" s="1">
        <v>3</v>
      </c>
      <c r="F30" s="1">
        <v>28</v>
      </c>
      <c r="G30" s="1">
        <v>0</v>
      </c>
    </row>
    <row r="31" spans="1:7">
      <c r="A31" s="1">
        <v>110002</v>
      </c>
      <c r="B31" s="3" t="s">
        <v>269</v>
      </c>
      <c r="C31" s="1">
        <v>201</v>
      </c>
      <c r="D31" s="1">
        <v>2</v>
      </c>
      <c r="E31" s="1">
        <v>4</v>
      </c>
      <c r="F31" s="1">
        <v>32</v>
      </c>
      <c r="G31" s="1">
        <v>0</v>
      </c>
    </row>
    <row r="32" spans="1:7">
      <c r="A32" s="1">
        <v>110002</v>
      </c>
      <c r="B32" s="3" t="s">
        <v>269</v>
      </c>
      <c r="C32" s="1">
        <v>201</v>
      </c>
      <c r="D32" s="1">
        <v>2</v>
      </c>
      <c r="E32" s="1">
        <v>5</v>
      </c>
      <c r="F32" s="1">
        <v>36</v>
      </c>
      <c r="G32" s="1">
        <v>0</v>
      </c>
    </row>
    <row r="33" spans="1:7">
      <c r="A33" s="1">
        <v>110002</v>
      </c>
      <c r="B33" s="2" t="s">
        <v>270</v>
      </c>
      <c r="C33" s="1">
        <v>202</v>
      </c>
      <c r="D33" s="1">
        <v>1</v>
      </c>
      <c r="E33" s="1">
        <v>1</v>
      </c>
      <c r="F33" s="1">
        <v>10</v>
      </c>
      <c r="G33" s="1">
        <v>0</v>
      </c>
    </row>
    <row r="34" spans="1:7">
      <c r="A34" s="1">
        <v>110002</v>
      </c>
      <c r="B34" s="2" t="s">
        <v>270</v>
      </c>
      <c r="C34" s="1">
        <v>202</v>
      </c>
      <c r="D34" s="1">
        <v>1</v>
      </c>
      <c r="E34" s="1">
        <v>2</v>
      </c>
      <c r="F34" s="1">
        <v>13</v>
      </c>
      <c r="G34" s="1">
        <v>0</v>
      </c>
    </row>
    <row r="35" spans="1:7">
      <c r="A35" s="1">
        <v>110002</v>
      </c>
      <c r="B35" s="2" t="s">
        <v>270</v>
      </c>
      <c r="C35" s="1">
        <v>202</v>
      </c>
      <c r="D35" s="1">
        <v>1</v>
      </c>
      <c r="E35" s="1">
        <v>3</v>
      </c>
      <c r="F35" s="1">
        <v>16</v>
      </c>
      <c r="G35" s="1">
        <v>0</v>
      </c>
    </row>
    <row r="36" spans="1:7">
      <c r="A36" s="1">
        <v>110002</v>
      </c>
      <c r="B36" s="2" t="s">
        <v>270</v>
      </c>
      <c r="C36" s="1">
        <v>202</v>
      </c>
      <c r="D36" s="1">
        <v>1</v>
      </c>
      <c r="E36" s="1">
        <v>4</v>
      </c>
      <c r="F36" s="1">
        <v>19</v>
      </c>
      <c r="G36" s="1">
        <v>0</v>
      </c>
    </row>
    <row r="37" spans="1:7">
      <c r="A37" s="1">
        <v>110002</v>
      </c>
      <c r="B37" s="2" t="s">
        <v>270</v>
      </c>
      <c r="C37" s="1">
        <v>202</v>
      </c>
      <c r="D37" s="1">
        <v>1</v>
      </c>
      <c r="E37" s="1">
        <v>5</v>
      </c>
      <c r="F37" s="1">
        <v>22</v>
      </c>
      <c r="G37" s="1">
        <v>0</v>
      </c>
    </row>
    <row r="38" spans="1:7">
      <c r="A38" s="1">
        <v>110002</v>
      </c>
      <c r="B38" s="3" t="s">
        <v>271</v>
      </c>
      <c r="C38" s="1">
        <v>202</v>
      </c>
      <c r="D38" s="1">
        <v>2</v>
      </c>
      <c r="E38" s="1">
        <v>1</v>
      </c>
      <c r="F38" s="1">
        <v>20</v>
      </c>
      <c r="G38" s="1">
        <v>0</v>
      </c>
    </row>
    <row r="39" spans="1:7">
      <c r="A39" s="1">
        <v>110002</v>
      </c>
      <c r="B39" s="3" t="s">
        <v>271</v>
      </c>
      <c r="C39" s="1">
        <v>202</v>
      </c>
      <c r="D39" s="1">
        <v>2</v>
      </c>
      <c r="E39" s="1">
        <v>2</v>
      </c>
      <c r="F39" s="1">
        <v>24</v>
      </c>
      <c r="G39" s="1">
        <v>0</v>
      </c>
    </row>
    <row r="40" spans="1:7">
      <c r="A40" s="1">
        <v>110002</v>
      </c>
      <c r="B40" s="3" t="s">
        <v>271</v>
      </c>
      <c r="C40" s="1">
        <v>202</v>
      </c>
      <c r="D40" s="1">
        <v>2</v>
      </c>
      <c r="E40" s="1">
        <v>3</v>
      </c>
      <c r="F40" s="1">
        <v>28</v>
      </c>
      <c r="G40" s="1">
        <v>0</v>
      </c>
    </row>
    <row r="41" spans="1:7">
      <c r="A41" s="1">
        <v>110002</v>
      </c>
      <c r="B41" s="3" t="s">
        <v>271</v>
      </c>
      <c r="C41" s="1">
        <v>202</v>
      </c>
      <c r="D41" s="1">
        <v>2</v>
      </c>
      <c r="E41" s="1">
        <v>4</v>
      </c>
      <c r="F41" s="1">
        <v>32</v>
      </c>
      <c r="G41" s="1">
        <v>0</v>
      </c>
    </row>
    <row r="42" spans="1:7">
      <c r="A42" s="1">
        <v>110002</v>
      </c>
      <c r="B42" s="3" t="s">
        <v>271</v>
      </c>
      <c r="C42" s="1">
        <v>202</v>
      </c>
      <c r="D42" s="1">
        <v>2</v>
      </c>
      <c r="E42" s="1">
        <v>5</v>
      </c>
      <c r="F42" s="1">
        <v>36</v>
      </c>
      <c r="G42" s="1">
        <v>0</v>
      </c>
    </row>
    <row r="43" spans="1:7">
      <c r="A43" s="1">
        <v>200001</v>
      </c>
      <c r="B43" s="2" t="s">
        <v>272</v>
      </c>
      <c r="C43" s="1">
        <v>301</v>
      </c>
      <c r="D43" s="1">
        <v>1</v>
      </c>
      <c r="E43" s="1">
        <v>1</v>
      </c>
      <c r="F43" s="1">
        <v>0</v>
      </c>
      <c r="G43" s="1">
        <v>30</v>
      </c>
    </row>
    <row r="44" spans="1:7">
      <c r="A44" s="1">
        <v>200002</v>
      </c>
      <c r="B44" s="2" t="s">
        <v>272</v>
      </c>
      <c r="C44" s="1">
        <v>301</v>
      </c>
      <c r="D44" s="1">
        <v>1</v>
      </c>
      <c r="E44" s="1">
        <v>2</v>
      </c>
      <c r="F44" s="1">
        <v>0</v>
      </c>
      <c r="G44" s="1">
        <v>36</v>
      </c>
    </row>
    <row r="45" spans="1:7">
      <c r="A45" s="1">
        <v>200003</v>
      </c>
      <c r="B45" s="2" t="s">
        <v>272</v>
      </c>
      <c r="C45" s="1">
        <v>301</v>
      </c>
      <c r="D45" s="1">
        <v>1</v>
      </c>
      <c r="E45" s="1">
        <v>3</v>
      </c>
      <c r="F45" s="1">
        <v>0</v>
      </c>
      <c r="G45" s="1">
        <v>42</v>
      </c>
    </row>
    <row r="46" spans="1:7">
      <c r="A46" s="1">
        <v>200004</v>
      </c>
      <c r="B46" s="2" t="s">
        <v>272</v>
      </c>
      <c r="C46" s="1">
        <v>301</v>
      </c>
      <c r="D46" s="1">
        <v>1</v>
      </c>
      <c r="E46" s="1">
        <v>4</v>
      </c>
      <c r="F46" s="1">
        <v>0</v>
      </c>
      <c r="G46" s="1">
        <v>48</v>
      </c>
    </row>
    <row r="47" spans="1:7">
      <c r="A47" s="1">
        <v>200005</v>
      </c>
      <c r="B47" s="2" t="s">
        <v>272</v>
      </c>
      <c r="C47" s="1">
        <v>301</v>
      </c>
      <c r="D47" s="1">
        <v>1</v>
      </c>
      <c r="E47" s="1">
        <v>5</v>
      </c>
      <c r="F47" s="1">
        <v>0</v>
      </c>
      <c r="G47" s="1">
        <v>54</v>
      </c>
    </row>
    <row r="48" spans="1:7">
      <c r="A48" s="1">
        <v>200101</v>
      </c>
      <c r="B48" s="3" t="s">
        <v>273</v>
      </c>
      <c r="C48" s="1">
        <v>301</v>
      </c>
      <c r="D48" s="1">
        <v>2</v>
      </c>
      <c r="E48" s="1">
        <v>1</v>
      </c>
      <c r="F48" s="1">
        <v>0</v>
      </c>
      <c r="G48" s="1">
        <v>60</v>
      </c>
    </row>
    <row r="49" spans="1:7">
      <c r="A49" s="1">
        <v>200102</v>
      </c>
      <c r="B49" s="3" t="s">
        <v>273</v>
      </c>
      <c r="C49" s="1">
        <v>301</v>
      </c>
      <c r="D49" s="1">
        <v>2</v>
      </c>
      <c r="E49" s="1">
        <v>2</v>
      </c>
      <c r="F49" s="1">
        <v>0</v>
      </c>
      <c r="G49" s="1">
        <v>68</v>
      </c>
    </row>
    <row r="50" spans="1:7">
      <c r="A50" s="1">
        <v>200103</v>
      </c>
      <c r="B50" s="3" t="s">
        <v>273</v>
      </c>
      <c r="C50" s="1">
        <v>301</v>
      </c>
      <c r="D50" s="1">
        <v>2</v>
      </c>
      <c r="E50" s="1">
        <v>3</v>
      </c>
      <c r="F50" s="1">
        <v>0</v>
      </c>
      <c r="G50" s="1">
        <v>76</v>
      </c>
    </row>
    <row r="51" spans="1:7">
      <c r="A51" s="1">
        <v>200104</v>
      </c>
      <c r="B51" s="3" t="s">
        <v>273</v>
      </c>
      <c r="C51" s="1">
        <v>301</v>
      </c>
      <c r="D51" s="1">
        <v>2</v>
      </c>
      <c r="E51" s="1">
        <v>4</v>
      </c>
      <c r="F51" s="1">
        <v>0</v>
      </c>
      <c r="G51" s="1">
        <v>84</v>
      </c>
    </row>
    <row r="52" spans="1:7">
      <c r="A52" s="1">
        <v>200105</v>
      </c>
      <c r="B52" s="3" t="s">
        <v>273</v>
      </c>
      <c r="C52" s="1">
        <v>301</v>
      </c>
      <c r="D52" s="1">
        <v>2</v>
      </c>
      <c r="E52" s="1">
        <v>5</v>
      </c>
      <c r="F52" s="1">
        <v>0</v>
      </c>
      <c r="G52" s="1">
        <v>92</v>
      </c>
    </row>
    <row r="53" spans="1:7">
      <c r="A53" s="1">
        <v>210001</v>
      </c>
      <c r="B53" s="2" t="s">
        <v>274</v>
      </c>
      <c r="C53" s="1">
        <v>401</v>
      </c>
      <c r="D53" s="1">
        <v>1</v>
      </c>
      <c r="E53" s="1">
        <v>1</v>
      </c>
      <c r="F53" s="1">
        <v>0</v>
      </c>
      <c r="G53" s="1">
        <v>30</v>
      </c>
    </row>
    <row r="54" spans="1:7">
      <c r="A54" s="1">
        <v>210002</v>
      </c>
      <c r="B54" s="2" t="s">
        <v>274</v>
      </c>
      <c r="C54" s="1">
        <v>401</v>
      </c>
      <c r="D54" s="1">
        <v>1</v>
      </c>
      <c r="E54" s="1">
        <v>2</v>
      </c>
      <c r="F54" s="1">
        <v>0</v>
      </c>
      <c r="G54" s="1">
        <v>36</v>
      </c>
    </row>
    <row r="55" spans="1:7">
      <c r="A55" s="1">
        <v>210003</v>
      </c>
      <c r="B55" s="2" t="s">
        <v>274</v>
      </c>
      <c r="C55" s="1">
        <v>401</v>
      </c>
      <c r="D55" s="1">
        <v>1</v>
      </c>
      <c r="E55" s="1">
        <v>3</v>
      </c>
      <c r="F55" s="1">
        <v>0</v>
      </c>
      <c r="G55" s="1">
        <v>42</v>
      </c>
    </row>
    <row r="56" spans="1:7">
      <c r="A56" s="1">
        <v>210004</v>
      </c>
      <c r="B56" s="2" t="s">
        <v>274</v>
      </c>
      <c r="C56" s="1">
        <v>401</v>
      </c>
      <c r="D56" s="1">
        <v>1</v>
      </c>
      <c r="E56" s="1">
        <v>4</v>
      </c>
      <c r="F56" s="1">
        <v>0</v>
      </c>
      <c r="G56" s="1">
        <v>48</v>
      </c>
    </row>
    <row r="57" spans="1:7">
      <c r="A57" s="1">
        <v>210005</v>
      </c>
      <c r="B57" s="2" t="s">
        <v>274</v>
      </c>
      <c r="C57" s="1">
        <v>401</v>
      </c>
      <c r="D57" s="1">
        <v>1</v>
      </c>
      <c r="E57" s="1">
        <v>5</v>
      </c>
      <c r="F57" s="1">
        <v>0</v>
      </c>
      <c r="G57" s="1">
        <v>54</v>
      </c>
    </row>
    <row r="58" spans="1:7">
      <c r="A58" s="1">
        <v>210101</v>
      </c>
      <c r="B58" s="3" t="s">
        <v>275</v>
      </c>
      <c r="C58" s="1">
        <v>401</v>
      </c>
      <c r="D58" s="1">
        <v>2</v>
      </c>
      <c r="E58" s="1">
        <v>1</v>
      </c>
      <c r="F58" s="1">
        <v>0</v>
      </c>
      <c r="G58" s="1">
        <v>60</v>
      </c>
    </row>
    <row r="59" spans="1:7">
      <c r="A59" s="1">
        <v>210102</v>
      </c>
      <c r="B59" s="3" t="s">
        <v>275</v>
      </c>
      <c r="C59" s="1">
        <v>401</v>
      </c>
      <c r="D59" s="1">
        <v>2</v>
      </c>
      <c r="E59" s="1">
        <v>2</v>
      </c>
      <c r="F59" s="1">
        <v>0</v>
      </c>
      <c r="G59" s="1">
        <v>68</v>
      </c>
    </row>
    <row r="60" spans="1:7">
      <c r="A60" s="1">
        <v>210103</v>
      </c>
      <c r="B60" s="3" t="s">
        <v>275</v>
      </c>
      <c r="C60" s="1">
        <v>401</v>
      </c>
      <c r="D60" s="1">
        <v>2</v>
      </c>
      <c r="E60" s="1">
        <v>3</v>
      </c>
      <c r="F60" s="1">
        <v>0</v>
      </c>
      <c r="G60" s="1">
        <v>76</v>
      </c>
    </row>
    <row r="61" spans="1:7">
      <c r="A61" s="1">
        <v>210104</v>
      </c>
      <c r="B61" s="3" t="s">
        <v>275</v>
      </c>
      <c r="C61" s="1">
        <v>401</v>
      </c>
      <c r="D61" s="1">
        <v>2</v>
      </c>
      <c r="E61" s="1">
        <v>4</v>
      </c>
      <c r="F61" s="1">
        <v>0</v>
      </c>
      <c r="G61" s="1">
        <v>84</v>
      </c>
    </row>
    <row r="62" spans="1:7">
      <c r="A62" s="1">
        <v>210105</v>
      </c>
      <c r="B62" s="3" t="s">
        <v>275</v>
      </c>
      <c r="C62" s="1">
        <v>401</v>
      </c>
      <c r="D62" s="1">
        <v>2</v>
      </c>
      <c r="E62" s="1">
        <v>5</v>
      </c>
      <c r="F62" s="1">
        <v>0</v>
      </c>
      <c r="G62" s="1">
        <v>92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B9" sqref="B9"/>
    </sheetView>
  </sheetViews>
  <sheetFormatPr defaultColWidth="9" defaultRowHeight="14.25" outlineLevelRow="1"/>
  <sheetData>
    <row r="1" spans="1:1">
      <c r="A1" t="s">
        <v>276</v>
      </c>
    </row>
    <row r="2" spans="1:1">
      <c r="A2" t="s">
        <v>277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索引</vt:lpstr>
      <vt:lpstr>主角</vt:lpstr>
      <vt:lpstr>技能</vt:lpstr>
      <vt:lpstr>技能-原始</vt:lpstr>
      <vt:lpstr>关卡</vt:lpstr>
      <vt:lpstr>局内等级</vt:lpstr>
      <vt:lpstr>装备</vt:lpstr>
      <vt:lpstr>技能属性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CM082</dc:creator>
  <cp:lastModifiedBy>qimin</cp:lastModifiedBy>
  <dcterms:created xsi:type="dcterms:W3CDTF">2015-06-05T18:19:00Z</dcterms:created>
  <dcterms:modified xsi:type="dcterms:W3CDTF">2026-02-07T09:29:19Z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E6426030325F4C428809369DF24B0E35</vt:lpwstr>
  </property>
  <property fmtid="{D5CDD505-2E9C-101B-9397-08002B2CF9AE}" pid="3" name="KSOProductBuildVer">
    <vt:lpwstr>2052-12.1.0.21915</vt:lpwstr>
  </property>
</Properties>
</file>